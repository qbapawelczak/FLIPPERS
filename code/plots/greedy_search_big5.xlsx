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esktop/Praca/Minnesota season 6/JOB MARKET/codes/plots/"/>
    </mc:Choice>
  </mc:AlternateContent>
  <xr:revisionPtr revIDLastSave="0" documentId="13_ncr:1_{06CD1370-150C-EF42-999E-898B602AD172}" xr6:coauthVersionLast="47" xr6:coauthVersionMax="47" xr10:uidLastSave="{00000000-0000-0000-0000-000000000000}"/>
  <bookViews>
    <workbookView xWindow="23820" yWindow="500" windowWidth="27380" windowHeight="28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R2" i="1"/>
  <c r="Q2" i="1"/>
  <c r="P2" i="1"/>
  <c r="O2" i="1"/>
  <c r="T2" i="1" s="1"/>
  <c r="S2" i="1" l="1"/>
</calcChain>
</file>

<file path=xl/sharedStrings.xml><?xml version="1.0" encoding="utf-8"?>
<sst xmlns="http://schemas.openxmlformats.org/spreadsheetml/2006/main" count="10" uniqueCount="10">
  <si>
    <t>f</t>
  </si>
  <si>
    <t>gamma</t>
  </si>
  <si>
    <t>rho</t>
  </si>
  <si>
    <t>lambda1</t>
  </si>
  <si>
    <t>optimal_delta_0</t>
  </si>
  <si>
    <t>optimal_delta_1</t>
  </si>
  <si>
    <t>shared_flipped</t>
  </si>
  <si>
    <t>avg_time_lived</t>
  </si>
  <si>
    <t>return_flipping</t>
  </si>
  <si>
    <t>P_mean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</si>
</sst>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zoomScale="110" zoomScaleNormal="110" workbookViewId="0">
      <pane ySplit="1" topLeftCell="A2" activePane="bottomLeft" state="frozen"/>
      <selection pane="bottomLeft" activeCell="A2" sqref="A2:J5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1" x14ac:dyDescent="0.2">
      <c r="A2">
        <v>3.0000000000000001E-3</v>
      </c>
      <c r="B2">
        <v>7.0000000000000007E-2</v>
      </c>
      <c r="C2">
        <v>0.4</v>
      </c>
      <c r="D2">
        <v>3</v>
      </c>
      <c r="E2">
        <v>0.4408075814110306</v>
      </c>
      <c r="F2">
        <v>9.3790772752545826E-2</v>
      </c>
      <c r="G2">
        <v>1.8161768546160272E-2</v>
      </c>
      <c r="H2">
        <v>2.803737473158199E-2</v>
      </c>
      <c r="I2">
        <v>2.193213880690136</v>
      </c>
      <c r="J2">
        <v>11.45930045862135</v>
      </c>
      <c r="K2">
        <v>4.5600000000000002E-2</v>
      </c>
      <c r="L2">
        <v>5.5899999999999998E-2</v>
      </c>
      <c r="M2">
        <v>1.29</v>
      </c>
      <c r="N2">
        <v>11.42</v>
      </c>
      <c r="O2">
        <f>(G2-K$2)/K$2</f>
        <v>-0.60171560205788877</v>
      </c>
      <c r="P2">
        <f>(H2-L$2)/L$2</f>
        <v>-0.49843694576776404</v>
      </c>
      <c r="Q2">
        <f>(I2-M$2)/M$2</f>
        <v>0.70016579898460152</v>
      </c>
      <c r="R2">
        <f>(J2-N$2)/N$2</f>
        <v>3.441371157736399E-3</v>
      </c>
      <c r="S2">
        <f>O2^2+P2^2+Q2^2+R2^2</f>
        <v>1.1007450437693751</v>
      </c>
      <c r="T2">
        <f>O2^2+R2^2</f>
        <v>0.3620735087953329</v>
      </c>
      <c r="U2">
        <f>O2^2+P2^2+R2^2</f>
        <v>0.61051289770162986</v>
      </c>
    </row>
    <row r="3" spans="1:21" x14ac:dyDescent="0.2">
      <c r="A3">
        <v>1.6333333333333332E-2</v>
      </c>
      <c r="B3">
        <v>7.0000000000000007E-2</v>
      </c>
      <c r="C3">
        <v>0.4</v>
      </c>
      <c r="D3">
        <v>3</v>
      </c>
      <c r="E3">
        <v>0.44261257935336951</v>
      </c>
      <c r="F3">
        <v>9.4299711980388209E-2</v>
      </c>
      <c r="G3">
        <v>8.4369495462631935E-2</v>
      </c>
      <c r="H3">
        <v>2.8801050116201609E-2</v>
      </c>
      <c r="I3">
        <v>2.2187942401645948</v>
      </c>
      <c r="J3">
        <v>11.34389762590695</v>
      </c>
      <c r="O3">
        <f t="shared" ref="O3:O66" si="0">(G3-K$2)/K$2</f>
        <v>0.85020823382964761</v>
      </c>
      <c r="P3">
        <f t="shared" ref="P3:P66" si="1">(H3-L$2)/L$2</f>
        <v>-0.48477548987116975</v>
      </c>
      <c r="Q3">
        <f t="shared" ref="Q3:Q66" si="2">(I3-M$2)/M$2</f>
        <v>0.71999553501131375</v>
      </c>
      <c r="R3">
        <f t="shared" ref="R3:R66" si="3">(J3-N$2)/N$2</f>
        <v>-6.6639556999168502E-3</v>
      </c>
      <c r="S3">
        <f t="shared" ref="S3:S66" si="4">O3^2+P3^2+Q3^2+R3^2</f>
        <v>1.4762992951933598</v>
      </c>
      <c r="T3">
        <f t="shared" ref="T3:T66" si="5">O3^2+R3^2</f>
        <v>0.72289844917729928</v>
      </c>
      <c r="U3">
        <f t="shared" ref="U3:U66" si="6">O3^2+P3^2+R3^2</f>
        <v>0.95790572475713187</v>
      </c>
    </row>
    <row r="4" spans="1:21" x14ac:dyDescent="0.2">
      <c r="A4">
        <v>2.9666666666666661E-2</v>
      </c>
      <c r="B4">
        <v>7.0000000000000007E-2</v>
      </c>
      <c r="C4">
        <v>0.4</v>
      </c>
      <c r="D4">
        <v>3</v>
      </c>
      <c r="E4">
        <v>0.44461946850511558</v>
      </c>
      <c r="F4">
        <v>9.3634742951472422E-2</v>
      </c>
      <c r="G4">
        <v>0.13183906604748721</v>
      </c>
      <c r="H4">
        <v>2.9343917449411311E-2</v>
      </c>
      <c r="I4">
        <v>2.2470373661535921</v>
      </c>
      <c r="J4">
        <v>11.25576710827591</v>
      </c>
      <c r="O4">
        <f t="shared" si="0"/>
        <v>1.8912075887606843</v>
      </c>
      <c r="P4">
        <f t="shared" si="1"/>
        <v>-0.475064088561515</v>
      </c>
      <c r="Q4">
        <f t="shared" si="2"/>
        <v>0.74188943112681549</v>
      </c>
      <c r="R4">
        <f t="shared" si="3"/>
        <v>-1.4381163898781985E-2</v>
      </c>
      <c r="S4">
        <f t="shared" si="4"/>
        <v>4.3529587779195378</v>
      </c>
      <c r="T4">
        <f t="shared" si="5"/>
        <v>3.5768729616610853</v>
      </c>
      <c r="U4">
        <f t="shared" si="6"/>
        <v>3.8025588499018683</v>
      </c>
    </row>
    <row r="5" spans="1:21" x14ac:dyDescent="0.2">
      <c r="A5">
        <v>4.2999999999999997E-2</v>
      </c>
      <c r="B5">
        <v>7.0000000000000007E-2</v>
      </c>
      <c r="C5">
        <v>0.4</v>
      </c>
      <c r="D5">
        <v>3</v>
      </c>
      <c r="E5">
        <v>0.44609178145099021</v>
      </c>
      <c r="F5">
        <v>9.2998801914632181E-2</v>
      </c>
      <c r="G5">
        <v>0.167060013354002</v>
      </c>
      <c r="H5">
        <v>2.974066434208085E-2</v>
      </c>
      <c r="I5">
        <v>2.2732961239707361</v>
      </c>
      <c r="J5">
        <v>11.20749807420464</v>
      </c>
      <c r="O5">
        <f t="shared" si="0"/>
        <v>2.6635967840789911</v>
      </c>
      <c r="P5">
        <f t="shared" si="1"/>
        <v>-0.46796664862109388</v>
      </c>
      <c r="Q5">
        <f t="shared" si="2"/>
        <v>0.76224505734165582</v>
      </c>
      <c r="R5">
        <f t="shared" si="3"/>
        <v>-1.8607874412903676E-2</v>
      </c>
      <c r="S5">
        <f t="shared" si="4"/>
        <v>7.8951043928095519</v>
      </c>
      <c r="T5">
        <f t="shared" si="5"/>
        <v>7.0950940811461098</v>
      </c>
      <c r="U5">
        <f t="shared" si="6"/>
        <v>7.3140868653677682</v>
      </c>
    </row>
    <row r="6" spans="1:21" x14ac:dyDescent="0.2">
      <c r="A6">
        <v>3.0000000000000001E-3</v>
      </c>
      <c r="B6">
        <v>7.0000000000000007E-2</v>
      </c>
      <c r="C6">
        <v>1.1000000000000001</v>
      </c>
      <c r="D6">
        <v>3</v>
      </c>
      <c r="E6">
        <v>0.28020843157649922</v>
      </c>
      <c r="F6">
        <v>3.5403836784685422E-2</v>
      </c>
      <c r="G6">
        <v>2.4539866450522191E-3</v>
      </c>
      <c r="H6">
        <v>4.5014457525665817E-2</v>
      </c>
      <c r="I6">
        <v>1.079000848296976</v>
      </c>
      <c r="J6">
        <v>9.9943762965670935</v>
      </c>
      <c r="O6">
        <f t="shared" si="0"/>
        <v>-0.94618450339797766</v>
      </c>
      <c r="P6">
        <f t="shared" si="1"/>
        <v>-0.19473242351223938</v>
      </c>
      <c r="Q6">
        <f t="shared" si="2"/>
        <v>-0.16356523387831323</v>
      </c>
      <c r="R6">
        <f t="shared" si="3"/>
        <v>-0.12483570082599882</v>
      </c>
      <c r="S6">
        <f t="shared" si="4"/>
        <v>0.97552336917181337</v>
      </c>
      <c r="T6">
        <f t="shared" si="5"/>
        <v>0.91084906667119592</v>
      </c>
      <c r="U6">
        <f t="shared" si="6"/>
        <v>0.94876978343814611</v>
      </c>
    </row>
    <row r="7" spans="1:21" x14ac:dyDescent="0.2">
      <c r="A7">
        <v>1.6333333333333332E-2</v>
      </c>
      <c r="B7">
        <v>7.0000000000000007E-2</v>
      </c>
      <c r="C7">
        <v>1.1000000000000001</v>
      </c>
      <c r="D7">
        <v>3</v>
      </c>
      <c r="E7">
        <v>0.28055732000901062</v>
      </c>
      <c r="F7">
        <v>3.5663160772265091E-2</v>
      </c>
      <c r="G7">
        <v>1.2248360486025039E-2</v>
      </c>
      <c r="H7">
        <v>4.5117929481930032E-2</v>
      </c>
      <c r="I7">
        <v>1.079708369080064</v>
      </c>
      <c r="J7">
        <v>9.9759089454625549</v>
      </c>
      <c r="O7">
        <f t="shared" si="0"/>
        <v>-0.73139560337664389</v>
      </c>
      <c r="P7">
        <f t="shared" si="1"/>
        <v>-0.19288140461663625</v>
      </c>
      <c r="Q7">
        <f t="shared" si="2"/>
        <v>-0.16301676815498919</v>
      </c>
      <c r="R7">
        <f t="shared" si="3"/>
        <v>-0.12645280687718433</v>
      </c>
      <c r="S7">
        <f t="shared" si="4"/>
        <v>0.61470754395238758</v>
      </c>
      <c r="T7">
        <f t="shared" si="5"/>
        <v>0.55092984100580344</v>
      </c>
      <c r="U7">
        <f t="shared" si="6"/>
        <v>0.58813307725269004</v>
      </c>
    </row>
    <row r="8" spans="1:21" x14ac:dyDescent="0.2">
      <c r="A8">
        <v>2.9666666666666661E-2</v>
      </c>
      <c r="B8">
        <v>7.0000000000000007E-2</v>
      </c>
      <c r="C8">
        <v>1.1000000000000001</v>
      </c>
      <c r="D8">
        <v>3</v>
      </c>
      <c r="E8">
        <v>0.28091216291393811</v>
      </c>
      <c r="F8">
        <v>3.5882319019691897E-2</v>
      </c>
      <c r="G8">
        <v>2.052664257075059E-2</v>
      </c>
      <c r="H8">
        <v>4.520690573771851E-2</v>
      </c>
      <c r="I8">
        <v>1.080860938673887</v>
      </c>
      <c r="J8">
        <v>9.9604726775129997</v>
      </c>
      <c r="O8">
        <f t="shared" si="0"/>
        <v>-0.54985432958880287</v>
      </c>
      <c r="P8">
        <f t="shared" si="1"/>
        <v>-0.19128970057748637</v>
      </c>
      <c r="Q8">
        <f t="shared" si="2"/>
        <v>-0.162123303353576</v>
      </c>
      <c r="R8">
        <f t="shared" si="3"/>
        <v>-0.12780449408817865</v>
      </c>
      <c r="S8">
        <f t="shared" si="4"/>
        <v>0.3815494875139871</v>
      </c>
      <c r="T8">
        <f t="shared" si="5"/>
        <v>0.3186737724766871</v>
      </c>
      <c r="U8">
        <f t="shared" si="6"/>
        <v>0.35526552202371148</v>
      </c>
    </row>
    <row r="9" spans="1:21" x14ac:dyDescent="0.2">
      <c r="A9">
        <v>4.2999999999999997E-2</v>
      </c>
      <c r="B9">
        <v>7.0000000000000007E-2</v>
      </c>
      <c r="C9">
        <v>1.1000000000000001</v>
      </c>
      <c r="D9">
        <v>3</v>
      </c>
      <c r="E9">
        <v>0.28122875380036799</v>
      </c>
      <c r="F9">
        <v>3.6021052033752603E-2</v>
      </c>
      <c r="G9">
        <v>2.7568115939939832E-2</v>
      </c>
      <c r="H9">
        <v>4.528278407626176E-2</v>
      </c>
      <c r="I9">
        <v>1.082180373581634</v>
      </c>
      <c r="J9">
        <v>9.9479209787719043</v>
      </c>
      <c r="O9">
        <f t="shared" si="0"/>
        <v>-0.39543605394868792</v>
      </c>
      <c r="P9">
        <f t="shared" si="1"/>
        <v>-0.18993230632805436</v>
      </c>
      <c r="Q9">
        <f t="shared" si="2"/>
        <v>-0.16110048559563259</v>
      </c>
      <c r="R9">
        <f t="shared" si="3"/>
        <v>-0.12890359205149698</v>
      </c>
      <c r="S9">
        <f t="shared" si="4"/>
        <v>0.23501345625253087</v>
      </c>
      <c r="T9">
        <f t="shared" si="5"/>
        <v>0.17298580880628839</v>
      </c>
      <c r="U9">
        <f t="shared" si="6"/>
        <v>0.20906008979338225</v>
      </c>
    </row>
    <row r="10" spans="1:21" x14ac:dyDescent="0.2">
      <c r="A10">
        <v>3.0000000000000001E-3</v>
      </c>
      <c r="B10">
        <v>7.0000000000000007E-2</v>
      </c>
      <c r="C10">
        <v>1.8</v>
      </c>
      <c r="D10">
        <v>3</v>
      </c>
      <c r="E10">
        <v>0.21561097226280579</v>
      </c>
      <c r="F10">
        <v>2.6809160570740588E-3</v>
      </c>
      <c r="G10">
        <v>9.7371902366569487E-5</v>
      </c>
      <c r="H10">
        <v>5.4513209449519873E-2</v>
      </c>
      <c r="I10">
        <v>0.68240431460656037</v>
      </c>
      <c r="J10">
        <v>9.1555447675052886</v>
      </c>
      <c r="O10">
        <f t="shared" si="0"/>
        <v>-0.99786465126389101</v>
      </c>
      <c r="P10">
        <f t="shared" si="1"/>
        <v>-2.4808417718785791E-2</v>
      </c>
      <c r="Q10">
        <f t="shared" si="2"/>
        <v>-0.47100440728173615</v>
      </c>
      <c r="R10">
        <f t="shared" si="3"/>
        <v>-0.19828854925522868</v>
      </c>
      <c r="S10">
        <f t="shared" si="4"/>
        <v>1.2575128202762791</v>
      </c>
      <c r="T10">
        <f t="shared" si="5"/>
        <v>1.03505221100775</v>
      </c>
      <c r="U10">
        <f t="shared" si="6"/>
        <v>1.0356676685974597</v>
      </c>
    </row>
    <row r="11" spans="1:21" x14ac:dyDescent="0.2">
      <c r="A11">
        <v>1.6333333333333332E-2</v>
      </c>
      <c r="B11">
        <v>7.0000000000000007E-2</v>
      </c>
      <c r="C11">
        <v>1.8</v>
      </c>
      <c r="D11">
        <v>3</v>
      </c>
      <c r="E11">
        <v>0.2156540632567262</v>
      </c>
      <c r="F11">
        <v>2.7190653417186491E-3</v>
      </c>
      <c r="G11">
        <v>5.0612647881594205E-4</v>
      </c>
      <c r="H11">
        <v>5.4492959682519562E-2</v>
      </c>
      <c r="I11">
        <v>0.6822511025724447</v>
      </c>
      <c r="J11">
        <v>9.1500210236019459</v>
      </c>
      <c r="O11">
        <f t="shared" si="0"/>
        <v>-0.98890073511368548</v>
      </c>
      <c r="P11">
        <f t="shared" si="1"/>
        <v>-2.5170667575678641E-2</v>
      </c>
      <c r="Q11">
        <f t="shared" si="2"/>
        <v>-0.47112317630043049</v>
      </c>
      <c r="R11">
        <f t="shared" si="3"/>
        <v>-0.19877223961454063</v>
      </c>
      <c r="S11">
        <f t="shared" si="4"/>
        <v>1.2400256769033797</v>
      </c>
      <c r="T11">
        <f t="shared" si="5"/>
        <v>1.0174350671497678</v>
      </c>
      <c r="U11">
        <f t="shared" si="6"/>
        <v>1.0180686296559731</v>
      </c>
    </row>
    <row r="12" spans="1:21" x14ac:dyDescent="0.2">
      <c r="A12">
        <v>2.9666666666666661E-2</v>
      </c>
      <c r="B12">
        <v>7.0000000000000007E-2</v>
      </c>
      <c r="C12">
        <v>1.8</v>
      </c>
      <c r="D12">
        <v>3</v>
      </c>
      <c r="E12">
        <v>0.21575274537714731</v>
      </c>
      <c r="F12">
        <v>2.8182984739639361E-3</v>
      </c>
      <c r="G12">
        <v>9.0009863884377703E-4</v>
      </c>
      <c r="H12">
        <v>5.4476158685033881E-2</v>
      </c>
      <c r="I12">
        <v>0.68221508412895115</v>
      </c>
      <c r="J12">
        <v>9.1451813133709265</v>
      </c>
      <c r="O12">
        <f t="shared" si="0"/>
        <v>-0.98026099476219786</v>
      </c>
      <c r="P12">
        <f t="shared" si="1"/>
        <v>-2.5471222092417135E-2</v>
      </c>
      <c r="Q12">
        <f t="shared" si="2"/>
        <v>-0.4711510975744565</v>
      </c>
      <c r="R12">
        <f t="shared" si="3"/>
        <v>-0.19919603210412201</v>
      </c>
      <c r="S12">
        <f t="shared" si="4"/>
        <v>1.2232228169586963</v>
      </c>
      <c r="T12">
        <f t="shared" si="5"/>
        <v>1.0005906770582</v>
      </c>
      <c r="U12">
        <f t="shared" si="6"/>
        <v>1.0012394602130814</v>
      </c>
    </row>
    <row r="13" spans="1:21" x14ac:dyDescent="0.2">
      <c r="A13">
        <v>4.2999999999999997E-2</v>
      </c>
      <c r="B13">
        <v>7.0000000000000007E-2</v>
      </c>
      <c r="C13">
        <v>1.8</v>
      </c>
      <c r="D13">
        <v>3</v>
      </c>
      <c r="E13">
        <v>0.21583803067191601</v>
      </c>
      <c r="F13">
        <v>2.9003003126291298E-3</v>
      </c>
      <c r="G13">
        <v>1.272118184869238E-3</v>
      </c>
      <c r="H13">
        <v>5.4461885854152063E-2</v>
      </c>
      <c r="I13">
        <v>0.68221053993047853</v>
      </c>
      <c r="J13">
        <v>9.1409236761300114</v>
      </c>
      <c r="O13">
        <f t="shared" si="0"/>
        <v>-0.9721026713844465</v>
      </c>
      <c r="P13">
        <f t="shared" si="1"/>
        <v>-2.5726550015168787E-2</v>
      </c>
      <c r="Q13">
        <f t="shared" si="2"/>
        <v>-0.4711546202089314</v>
      </c>
      <c r="R13">
        <f t="shared" si="3"/>
        <v>-0.19956885497985888</v>
      </c>
      <c r="S13">
        <f t="shared" si="4"/>
        <v>1.2074598631106546</v>
      </c>
      <c r="T13">
        <f t="shared" si="5"/>
        <v>0.98481133159074918</v>
      </c>
      <c r="U13">
        <f t="shared" si="6"/>
        <v>0.98547318696643216</v>
      </c>
    </row>
    <row r="14" spans="1:21" x14ac:dyDescent="0.2">
      <c r="A14">
        <v>3.0000000000000001E-3</v>
      </c>
      <c r="B14">
        <v>7.0000000000000007E-2</v>
      </c>
      <c r="C14">
        <v>0.4</v>
      </c>
      <c r="D14">
        <v>4.5</v>
      </c>
      <c r="E14">
        <v>0.48478681592650252</v>
      </c>
      <c r="F14">
        <v>0.12649799733035499</v>
      </c>
      <c r="G14">
        <v>3.2630050934641039E-2</v>
      </c>
      <c r="H14">
        <v>2.8187224758712021E-2</v>
      </c>
      <c r="I14">
        <v>2.256364234894134</v>
      </c>
      <c r="J14">
        <v>11.44302729864709</v>
      </c>
      <c r="O14">
        <f t="shared" si="0"/>
        <v>-0.28442870757366145</v>
      </c>
      <c r="P14">
        <f t="shared" si="1"/>
        <v>-0.49575626549710161</v>
      </c>
      <c r="Q14">
        <f t="shared" si="2"/>
        <v>0.74911956193343709</v>
      </c>
      <c r="R14">
        <f t="shared" si="3"/>
        <v>2.0164009323196215E-3</v>
      </c>
      <c r="S14">
        <f t="shared" si="4"/>
        <v>0.88785814841572064</v>
      </c>
      <c r="T14">
        <f t="shared" si="5"/>
        <v>8.0903755564743288E-2</v>
      </c>
      <c r="U14">
        <f t="shared" si="6"/>
        <v>0.32667803034437598</v>
      </c>
    </row>
    <row r="15" spans="1:21" x14ac:dyDescent="0.2">
      <c r="A15">
        <v>1.6333333333333332E-2</v>
      </c>
      <c r="B15">
        <v>7.0000000000000007E-2</v>
      </c>
      <c r="C15">
        <v>0.4</v>
      </c>
      <c r="D15">
        <v>4.5</v>
      </c>
      <c r="E15">
        <v>0.48932421262326081</v>
      </c>
      <c r="F15">
        <v>0.12496098948413591</v>
      </c>
      <c r="G15">
        <v>0.14166766462450109</v>
      </c>
      <c r="H15">
        <v>2.936811080341609E-2</v>
      </c>
      <c r="I15">
        <v>2.3339913521770672</v>
      </c>
      <c r="J15">
        <v>11.27915776978824</v>
      </c>
      <c r="O15">
        <f t="shared" si="0"/>
        <v>2.1067470312390588</v>
      </c>
      <c r="P15">
        <f t="shared" si="1"/>
        <v>-0.47463129153101807</v>
      </c>
      <c r="Q15">
        <f t="shared" si="2"/>
        <v>0.80929562184268766</v>
      </c>
      <c r="R15">
        <f t="shared" si="3"/>
        <v>-1.2332944852168128E-2</v>
      </c>
      <c r="S15">
        <f t="shared" si="4"/>
        <v>5.3187694215974597</v>
      </c>
      <c r="T15">
        <f t="shared" si="5"/>
        <v>4.438535155163315</v>
      </c>
      <c r="U15">
        <f t="shared" si="6"/>
        <v>4.6638100180637174</v>
      </c>
    </row>
    <row r="16" spans="1:21" x14ac:dyDescent="0.2">
      <c r="A16">
        <v>2.9666666666666661E-2</v>
      </c>
      <c r="B16">
        <v>7.0000000000000007E-2</v>
      </c>
      <c r="C16">
        <v>0.4</v>
      </c>
      <c r="D16">
        <v>4.5</v>
      </c>
      <c r="E16">
        <v>0.4929646808147789</v>
      </c>
      <c r="F16">
        <v>0.12360787968656339</v>
      </c>
      <c r="G16">
        <v>0.21227390006934119</v>
      </c>
      <c r="H16">
        <v>3.0152873922516411E-2</v>
      </c>
      <c r="I16">
        <v>2.3808948658174001</v>
      </c>
      <c r="J16">
        <v>11.16989248320006</v>
      </c>
      <c r="O16">
        <f t="shared" si="0"/>
        <v>3.6551293874855522</v>
      </c>
      <c r="P16">
        <f t="shared" si="1"/>
        <v>-0.46059259530382091</v>
      </c>
      <c r="Q16">
        <f t="shared" si="2"/>
        <v>0.84565493474217057</v>
      </c>
      <c r="R16">
        <f t="shared" si="3"/>
        <v>-2.1900833345003468E-2</v>
      </c>
      <c r="S16">
        <f t="shared" si="4"/>
        <v>14.287728293264205</v>
      </c>
      <c r="T16">
        <f t="shared" si="5"/>
        <v>13.360450485761712</v>
      </c>
      <c r="U16">
        <f t="shared" si="6"/>
        <v>13.572596024610421</v>
      </c>
    </row>
    <row r="17" spans="1:21" x14ac:dyDescent="0.2">
      <c r="A17">
        <v>4.2999999999999997E-2</v>
      </c>
      <c r="B17">
        <v>7.0000000000000007E-2</v>
      </c>
      <c r="C17">
        <v>0.4</v>
      </c>
      <c r="D17">
        <v>4.5</v>
      </c>
      <c r="E17">
        <v>0.49573070200519082</v>
      </c>
      <c r="F17">
        <v>0.1223624681973038</v>
      </c>
      <c r="G17">
        <v>0.26070503767349501</v>
      </c>
      <c r="H17">
        <v>3.064278808241435E-2</v>
      </c>
      <c r="I17">
        <v>2.424708641442777</v>
      </c>
      <c r="J17">
        <v>11.1163231320922</v>
      </c>
      <c r="O17">
        <f t="shared" si="0"/>
        <v>4.717215738453838</v>
      </c>
      <c r="P17">
        <f t="shared" si="1"/>
        <v>-0.45182847795323167</v>
      </c>
      <c r="Q17">
        <f t="shared" si="2"/>
        <v>0.87961910189362547</v>
      </c>
      <c r="R17">
        <f t="shared" si="3"/>
        <v>-2.6591669694203166E-2</v>
      </c>
      <c r="S17">
        <f t="shared" si="4"/>
        <v>23.230710177919399</v>
      </c>
      <c r="T17">
        <f t="shared" si="5"/>
        <v>22.252831440013715</v>
      </c>
      <c r="U17">
        <f t="shared" si="6"/>
        <v>22.456980413503249</v>
      </c>
    </row>
    <row r="18" spans="1:21" x14ac:dyDescent="0.2">
      <c r="A18">
        <v>3.0000000000000001E-3</v>
      </c>
      <c r="B18">
        <v>7.0000000000000007E-2</v>
      </c>
      <c r="C18">
        <v>1.1000000000000001</v>
      </c>
      <c r="D18">
        <v>4.5</v>
      </c>
      <c r="E18">
        <v>0.33782233861895561</v>
      </c>
      <c r="F18">
        <v>7.8461452401192122E-2</v>
      </c>
      <c r="G18">
        <v>8.2404510774981097E-3</v>
      </c>
      <c r="H18">
        <v>4.5067293599308139E-2</v>
      </c>
      <c r="I18">
        <v>1.191928918424765</v>
      </c>
      <c r="J18">
        <v>9.989133212996224</v>
      </c>
      <c r="O18">
        <f t="shared" si="0"/>
        <v>-0.81928835356363794</v>
      </c>
      <c r="P18">
        <f t="shared" si="1"/>
        <v>-0.19378723435942505</v>
      </c>
      <c r="Q18">
        <f t="shared" si="2"/>
        <v>-7.6024094244368234E-2</v>
      </c>
      <c r="R18">
        <f t="shared" si="3"/>
        <v>-0.12529481497406095</v>
      </c>
      <c r="S18">
        <f t="shared" si="4"/>
        <v>0.73026535205075205</v>
      </c>
      <c r="T18">
        <f t="shared" si="5"/>
        <v>0.68693219694440077</v>
      </c>
      <c r="U18">
        <f t="shared" si="6"/>
        <v>0.7244856891450755</v>
      </c>
    </row>
    <row r="19" spans="1:21" x14ac:dyDescent="0.2">
      <c r="A19" s="2">
        <v>1.6333333333333332E-2</v>
      </c>
      <c r="B19" s="2">
        <v>7.0000000000000007E-2</v>
      </c>
      <c r="C19" s="2">
        <v>1.1000000000000001</v>
      </c>
      <c r="D19" s="2">
        <v>4.5</v>
      </c>
      <c r="E19" s="2">
        <v>0.33879370824750232</v>
      </c>
      <c r="F19" s="2">
        <v>7.9325852896734092E-2</v>
      </c>
      <c r="G19" s="2">
        <v>3.9596590196654492E-2</v>
      </c>
      <c r="H19" s="2">
        <v>4.5366493705080627E-2</v>
      </c>
      <c r="I19" s="2">
        <v>1.203192271906987</v>
      </c>
      <c r="J19" s="2">
        <v>9.9523640409998073</v>
      </c>
      <c r="K19" s="2"/>
      <c r="L19" s="2"/>
      <c r="M19" s="2"/>
      <c r="N19" s="2"/>
      <c r="O19" s="2">
        <f t="shared" si="0"/>
        <v>-0.13165372375757695</v>
      </c>
      <c r="P19" s="2">
        <f t="shared" si="1"/>
        <v>-0.1884348174404181</v>
      </c>
      <c r="Q19" s="2">
        <f t="shared" si="2"/>
        <v>-6.7292812475203925E-2</v>
      </c>
      <c r="R19" s="2">
        <f t="shared" si="3"/>
        <v>-0.12851453231175067</v>
      </c>
      <c r="S19" s="2">
        <f t="shared" si="4"/>
        <v>7.3884691029171043E-2</v>
      </c>
      <c r="T19" s="2">
        <f t="shared" si="5"/>
        <v>3.3848687994544387E-2</v>
      </c>
      <c r="U19">
        <f t="shared" si="6"/>
        <v>6.935636841834808E-2</v>
      </c>
    </row>
    <row r="20" spans="1:21" x14ac:dyDescent="0.2">
      <c r="A20">
        <v>2.9666666666666661E-2</v>
      </c>
      <c r="B20">
        <v>7.0000000000000007E-2</v>
      </c>
      <c r="C20">
        <v>1.1000000000000001</v>
      </c>
      <c r="D20">
        <v>4.5</v>
      </c>
      <c r="E20">
        <v>0.33993683505681921</v>
      </c>
      <c r="F20">
        <v>7.8757723374610608E-2</v>
      </c>
      <c r="G20">
        <v>6.3186395302680859E-2</v>
      </c>
      <c r="H20">
        <v>4.5567242601342477E-2</v>
      </c>
      <c r="I20">
        <v>1.2196116615864769</v>
      </c>
      <c r="J20">
        <v>9.921731954510582</v>
      </c>
      <c r="O20">
        <f t="shared" si="0"/>
        <v>0.38566656365528196</v>
      </c>
      <c r="P20">
        <f t="shared" si="1"/>
        <v>-0.18484360283823831</v>
      </c>
      <c r="Q20">
        <f t="shared" si="2"/>
        <v>-5.4564603421335733E-2</v>
      </c>
      <c r="R20">
        <f t="shared" si="3"/>
        <v>-0.13119685161903835</v>
      </c>
      <c r="S20">
        <f t="shared" si="4"/>
        <v>0.20309576565316967</v>
      </c>
      <c r="T20">
        <f t="shared" si="5"/>
        <v>0.16595131219642162</v>
      </c>
      <c r="U20">
        <f t="shared" si="6"/>
        <v>0.20011846970664202</v>
      </c>
    </row>
    <row r="21" spans="1:21" x14ac:dyDescent="0.2">
      <c r="A21">
        <v>4.2999999999999997E-2</v>
      </c>
      <c r="B21">
        <v>7.0000000000000007E-2</v>
      </c>
      <c r="C21">
        <v>1.1000000000000001</v>
      </c>
      <c r="D21">
        <v>4.5</v>
      </c>
      <c r="E21">
        <v>0.34087237926582958</v>
      </c>
      <c r="F21">
        <v>7.8320617755429936E-2</v>
      </c>
      <c r="G21">
        <v>8.1569685514184836E-2</v>
      </c>
      <c r="H21">
        <v>4.5720752843287291E-2</v>
      </c>
      <c r="I21">
        <v>1.224491357202655</v>
      </c>
      <c r="J21">
        <v>9.8957125852222934</v>
      </c>
      <c r="O21">
        <f t="shared" si="0"/>
        <v>0.78880889285493061</v>
      </c>
      <c r="P21">
        <f t="shared" si="1"/>
        <v>-0.18209744466391248</v>
      </c>
      <c r="Q21">
        <f t="shared" si="2"/>
        <v>-5.0781893641352736E-2</v>
      </c>
      <c r="R21">
        <f t="shared" si="3"/>
        <v>-0.13347525523447518</v>
      </c>
      <c r="S21">
        <f t="shared" si="4"/>
        <v>0.67577339328185804</v>
      </c>
      <c r="T21">
        <f t="shared" si="5"/>
        <v>0.64003511320692974</v>
      </c>
      <c r="U21">
        <f t="shared" si="6"/>
        <v>0.67319459256005643</v>
      </c>
    </row>
    <row r="22" spans="1:21" x14ac:dyDescent="0.2">
      <c r="A22">
        <v>3.0000000000000001E-3</v>
      </c>
      <c r="B22">
        <v>7.0000000000000007E-2</v>
      </c>
      <c r="C22">
        <v>1.8</v>
      </c>
      <c r="D22">
        <v>4.5</v>
      </c>
      <c r="E22">
        <v>0.27014869789627738</v>
      </c>
      <c r="F22">
        <v>5.2147794956876409E-2</v>
      </c>
      <c r="G22">
        <v>3.0906433992529828E-3</v>
      </c>
      <c r="H22">
        <v>5.4538585352622772E-2</v>
      </c>
      <c r="I22">
        <v>0.76696294661147135</v>
      </c>
      <c r="J22">
        <v>9.1509695274977059</v>
      </c>
      <c r="O22">
        <f t="shared" si="0"/>
        <v>-0.9322227324725223</v>
      </c>
      <c r="P22">
        <f t="shared" si="1"/>
        <v>-2.435446596381443E-2</v>
      </c>
      <c r="Q22">
        <f t="shared" si="2"/>
        <v>-0.40545508014614623</v>
      </c>
      <c r="R22">
        <f t="shared" si="3"/>
        <v>-0.19868918323137427</v>
      </c>
      <c r="S22">
        <f t="shared" si="4"/>
        <v>1.0735035765003869</v>
      </c>
      <c r="T22">
        <f t="shared" si="5"/>
        <v>0.90851661447168652</v>
      </c>
      <c r="U22">
        <f t="shared" si="6"/>
        <v>0.90910975448406917</v>
      </c>
    </row>
    <row r="23" spans="1:21" x14ac:dyDescent="0.2">
      <c r="A23">
        <v>1.6333333333333332E-2</v>
      </c>
      <c r="B23">
        <v>7.0000000000000007E-2</v>
      </c>
      <c r="C23">
        <v>1.8</v>
      </c>
      <c r="D23">
        <v>4.5</v>
      </c>
      <c r="E23">
        <v>0.27064932150388388</v>
      </c>
      <c r="F23">
        <v>5.2643637258551673E-2</v>
      </c>
      <c r="G23">
        <v>1.543315510710238E-2</v>
      </c>
      <c r="H23">
        <v>5.462287368322135E-2</v>
      </c>
      <c r="I23">
        <v>0.76885271917404463</v>
      </c>
      <c r="J23">
        <v>9.1280957767912678</v>
      </c>
      <c r="O23">
        <f t="shared" si="0"/>
        <v>-0.66155361607231622</v>
      </c>
      <c r="P23">
        <f t="shared" si="1"/>
        <v>-2.2846624629313927E-2</v>
      </c>
      <c r="Q23">
        <f t="shared" si="2"/>
        <v>-0.40399014017515922</v>
      </c>
      <c r="R23">
        <f t="shared" si="3"/>
        <v>-0.20069213863474011</v>
      </c>
      <c r="S23">
        <f t="shared" si="4"/>
        <v>0.64166052306384092</v>
      </c>
      <c r="T23">
        <f t="shared" si="5"/>
        <v>0.47793052144814335</v>
      </c>
      <c r="U23">
        <f t="shared" si="6"/>
        <v>0.47845248970509613</v>
      </c>
    </row>
    <row r="24" spans="1:21" x14ac:dyDescent="0.2">
      <c r="A24">
        <v>2.9666666666666661E-2</v>
      </c>
      <c r="B24">
        <v>7.0000000000000007E-2</v>
      </c>
      <c r="C24">
        <v>1.8</v>
      </c>
      <c r="D24">
        <v>4.5</v>
      </c>
      <c r="E24">
        <v>0.27119478288385451</v>
      </c>
      <c r="F24">
        <v>5.2386812504656093E-2</v>
      </c>
      <c r="G24">
        <v>2.551708470850993E-2</v>
      </c>
      <c r="H24">
        <v>5.4684104464593937E-2</v>
      </c>
      <c r="I24">
        <v>0.77251176247486519</v>
      </c>
      <c r="J24">
        <v>9.1083672825540827</v>
      </c>
      <c r="O24">
        <f t="shared" si="0"/>
        <v>-0.44041480902390506</v>
      </c>
      <c r="P24">
        <f t="shared" si="1"/>
        <v>-2.1751261814061919E-2</v>
      </c>
      <c r="Q24">
        <f t="shared" si="2"/>
        <v>-0.40115367250010453</v>
      </c>
      <c r="R24">
        <f t="shared" si="3"/>
        <v>-0.20241967753466877</v>
      </c>
      <c r="S24">
        <f t="shared" si="4"/>
        <v>0.39633631621162702</v>
      </c>
      <c r="T24">
        <f t="shared" si="5"/>
        <v>0.23493892986080206</v>
      </c>
      <c r="U24">
        <f t="shared" si="6"/>
        <v>0.23541204725130593</v>
      </c>
    </row>
    <row r="25" spans="1:21" x14ac:dyDescent="0.2">
      <c r="A25">
        <v>4.2999999999999997E-2</v>
      </c>
      <c r="B25">
        <v>7.0000000000000007E-2</v>
      </c>
      <c r="C25">
        <v>1.8</v>
      </c>
      <c r="D25">
        <v>4.5</v>
      </c>
      <c r="E25">
        <v>0.2715266972204689</v>
      </c>
      <c r="F25">
        <v>5.2715087629648251E-2</v>
      </c>
      <c r="G25">
        <v>3.4308320344656848E-2</v>
      </c>
      <c r="H25">
        <v>5.4745038795087082E-2</v>
      </c>
      <c r="I25">
        <v>0.77398142107013079</v>
      </c>
      <c r="J25">
        <v>9.0932520006641546</v>
      </c>
      <c r="O25">
        <f t="shared" si="0"/>
        <v>-0.24762455384524459</v>
      </c>
      <c r="P25">
        <f t="shared" si="1"/>
        <v>-2.0661202234578104E-2</v>
      </c>
      <c r="Q25">
        <f t="shared" si="2"/>
        <v>-0.40001440227121643</v>
      </c>
      <c r="R25">
        <f t="shared" si="3"/>
        <v>-0.20374325738492516</v>
      </c>
      <c r="S25">
        <f t="shared" si="4"/>
        <v>0.263267641899053</v>
      </c>
      <c r="T25">
        <f t="shared" si="5"/>
        <v>0.10282923459687629</v>
      </c>
      <c r="U25">
        <f t="shared" si="6"/>
        <v>0.10325611987465444</v>
      </c>
    </row>
    <row r="26" spans="1:21" x14ac:dyDescent="0.2">
      <c r="A26" s="3">
        <v>3.0000000000000001E-3</v>
      </c>
      <c r="B26" s="3">
        <v>7.0000000000000007E-2</v>
      </c>
      <c r="C26" s="3">
        <v>0.4</v>
      </c>
      <c r="D26" s="3">
        <v>6</v>
      </c>
      <c r="E26" s="3">
        <v>0.50851855210863295</v>
      </c>
      <c r="F26" s="3">
        <v>0.1433094077634243</v>
      </c>
      <c r="G26" s="3">
        <v>4.5465866721440859E-2</v>
      </c>
      <c r="H26" s="3">
        <v>2.8299523739764521E-2</v>
      </c>
      <c r="I26" s="3">
        <v>2.2964425929849792</v>
      </c>
      <c r="J26" s="3">
        <v>11.42574529288482</v>
      </c>
      <c r="K26" s="3"/>
      <c r="L26" s="3"/>
      <c r="M26" s="3"/>
      <c r="N26" s="3"/>
      <c r="O26" s="3">
        <f t="shared" si="0"/>
        <v>-2.9415192666478636E-3</v>
      </c>
      <c r="P26" s="3">
        <f t="shared" si="1"/>
        <v>-0.49374733918131447</v>
      </c>
      <c r="Q26" s="3">
        <f t="shared" si="2"/>
        <v>0.78018805657750323</v>
      </c>
      <c r="R26" s="3">
        <f t="shared" si="3"/>
        <v>5.030904452556585E-4</v>
      </c>
      <c r="S26" s="3">
        <f t="shared" si="4"/>
        <v>0.85248874421040155</v>
      </c>
      <c r="T26" s="3">
        <f t="shared" si="5"/>
        <v>8.9056355921681219E-6</v>
      </c>
      <c r="U26" s="3">
        <f t="shared" si="6"/>
        <v>0.24379534058422017</v>
      </c>
    </row>
    <row r="27" spans="1:21" x14ac:dyDescent="0.2">
      <c r="A27">
        <v>1.6333333333333332E-2</v>
      </c>
      <c r="B27">
        <v>7.0000000000000007E-2</v>
      </c>
      <c r="C27">
        <v>0.4</v>
      </c>
      <c r="D27">
        <v>6</v>
      </c>
      <c r="E27">
        <v>0.51510225299937062</v>
      </c>
      <c r="F27">
        <v>0.1410745127644942</v>
      </c>
      <c r="G27">
        <v>0.1875936900776278</v>
      </c>
      <c r="H27">
        <v>2.9768576320686919E-2</v>
      </c>
      <c r="I27">
        <v>2.391056847957405</v>
      </c>
      <c r="J27">
        <v>11.22758296826556</v>
      </c>
      <c r="O27">
        <f t="shared" si="0"/>
        <v>3.1138967122286796</v>
      </c>
      <c r="P27">
        <f t="shared" si="1"/>
        <v>-0.46746732878914277</v>
      </c>
      <c r="Q27">
        <f t="shared" si="2"/>
        <v>0.8535324402770581</v>
      </c>
      <c r="R27">
        <f t="shared" si="3"/>
        <v>-1.6849127122105061E-2</v>
      </c>
      <c r="S27">
        <f t="shared" si="4"/>
        <v>10.643679957603924</v>
      </c>
      <c r="T27">
        <f t="shared" si="5"/>
        <v>9.6966366275133566</v>
      </c>
      <c r="U27">
        <f t="shared" si="6"/>
        <v>9.9151623309986139</v>
      </c>
    </row>
    <row r="28" spans="1:21" x14ac:dyDescent="0.2">
      <c r="A28">
        <v>2.9666666666666661E-2</v>
      </c>
      <c r="B28">
        <v>7.0000000000000007E-2</v>
      </c>
      <c r="C28">
        <v>0.4</v>
      </c>
      <c r="D28">
        <v>6</v>
      </c>
      <c r="E28">
        <v>0.5199037602458807</v>
      </c>
      <c r="F28">
        <v>0.13902132851648219</v>
      </c>
      <c r="G28">
        <v>0.27102945993447242</v>
      </c>
      <c r="H28">
        <v>3.0726418084135902E-2</v>
      </c>
      <c r="I28">
        <v>2.4814657252756169</v>
      </c>
      <c r="J28">
        <v>11.152039422852519</v>
      </c>
      <c r="O28">
        <f t="shared" si="0"/>
        <v>4.9436285073349211</v>
      </c>
      <c r="P28">
        <f t="shared" si="1"/>
        <v>-0.4503324135217191</v>
      </c>
      <c r="Q28">
        <f t="shared" si="2"/>
        <v>0.92361684129892785</v>
      </c>
      <c r="R28">
        <f t="shared" si="3"/>
        <v>-2.3464148611863436E-2</v>
      </c>
      <c r="S28">
        <f t="shared" si="4"/>
        <v>25.495880737003887</v>
      </c>
      <c r="T28">
        <f t="shared" si="5"/>
        <v>24.44001338480458</v>
      </c>
      <c r="U28">
        <f t="shared" si="6"/>
        <v>24.642812667472878</v>
      </c>
    </row>
    <row r="29" spans="1:21" x14ac:dyDescent="0.2">
      <c r="A29">
        <v>4.2999999999999997E-2</v>
      </c>
      <c r="B29">
        <v>7.0000000000000007E-2</v>
      </c>
      <c r="C29">
        <v>0.4</v>
      </c>
      <c r="D29">
        <v>6</v>
      </c>
      <c r="E29">
        <v>0.52376702325507984</v>
      </c>
      <c r="F29">
        <v>0.13741382982898101</v>
      </c>
      <c r="G29">
        <v>0.32450503122515217</v>
      </c>
      <c r="H29">
        <v>3.1307111830881307E-2</v>
      </c>
      <c r="I29">
        <v>2.5176284701449378</v>
      </c>
      <c r="J29">
        <v>11.090913944797281</v>
      </c>
      <c r="O29">
        <f t="shared" si="0"/>
        <v>6.1163384040603548</v>
      </c>
      <c r="P29">
        <f t="shared" si="1"/>
        <v>-0.439944332184592</v>
      </c>
      <c r="Q29">
        <f t="shared" si="2"/>
        <v>0.95164997685654096</v>
      </c>
      <c r="R29">
        <f t="shared" si="3"/>
        <v>-2.8816642311971896E-2</v>
      </c>
      <c r="S29">
        <f t="shared" si="4"/>
        <v>38.509614565730111</v>
      </c>
      <c r="T29">
        <f t="shared" si="5"/>
        <v>37.410425871857704</v>
      </c>
      <c r="U29">
        <f t="shared" si="6"/>
        <v>37.603976887279053</v>
      </c>
    </row>
    <row r="30" spans="1:21" x14ac:dyDescent="0.2">
      <c r="A30">
        <v>3.0000000000000001E-3</v>
      </c>
      <c r="B30">
        <v>7.0000000000000007E-2</v>
      </c>
      <c r="C30">
        <v>1.1000000000000001</v>
      </c>
      <c r="D30">
        <v>6</v>
      </c>
      <c r="E30">
        <v>0.37422277595594788</v>
      </c>
      <c r="F30">
        <v>0.1050060075923748</v>
      </c>
      <c r="G30">
        <v>1.4375492617720691E-2</v>
      </c>
      <c r="H30">
        <v>4.5092788435100672E-2</v>
      </c>
      <c r="I30">
        <v>1.2557576519245699</v>
      </c>
      <c r="J30">
        <v>9.980022311856855</v>
      </c>
      <c r="O30">
        <f t="shared" si="0"/>
        <v>-0.68474796890963396</v>
      </c>
      <c r="P30">
        <f t="shared" si="1"/>
        <v>-0.19333115500714357</v>
      </c>
      <c r="Q30">
        <f t="shared" si="2"/>
        <v>-2.6544455872426466E-2</v>
      </c>
      <c r="R30">
        <f t="shared" si="3"/>
        <v>-0.12609261717540673</v>
      </c>
      <c r="S30">
        <f t="shared" si="4"/>
        <v>0.52286067266597214</v>
      </c>
      <c r="T30">
        <f t="shared" si="5"/>
        <v>0.4847791290320127</v>
      </c>
      <c r="U30">
        <f t="shared" si="6"/>
        <v>0.5221560645284089</v>
      </c>
    </row>
    <row r="31" spans="1:21" x14ac:dyDescent="0.2">
      <c r="A31">
        <v>1.6333333333333332E-2</v>
      </c>
      <c r="B31">
        <v>7.0000000000000007E-2</v>
      </c>
      <c r="C31">
        <v>1.1000000000000001</v>
      </c>
      <c r="D31">
        <v>6</v>
      </c>
      <c r="E31">
        <v>0.37639110588706848</v>
      </c>
      <c r="F31">
        <v>0.10528161400418611</v>
      </c>
      <c r="G31">
        <v>6.633670068914585E-2</v>
      </c>
      <c r="H31">
        <v>4.5437685001397513E-2</v>
      </c>
      <c r="I31">
        <v>1.2790194004709929</v>
      </c>
      <c r="J31">
        <v>9.9169453445431834</v>
      </c>
      <c r="O31">
        <f t="shared" si="0"/>
        <v>0.4547522080953037</v>
      </c>
      <c r="P31">
        <f t="shared" si="1"/>
        <v>-0.18716127010022338</v>
      </c>
      <c r="Q31">
        <f t="shared" si="2"/>
        <v>-8.5120926581450356E-3</v>
      </c>
      <c r="R31">
        <f t="shared" si="3"/>
        <v>-0.13161599434823262</v>
      </c>
      <c r="S31">
        <f t="shared" si="4"/>
        <v>0.25922413748277801</v>
      </c>
      <c r="T31">
        <f t="shared" si="5"/>
        <v>0.2241223407358284</v>
      </c>
      <c r="U31">
        <f t="shared" si="6"/>
        <v>0.25915168176135717</v>
      </c>
    </row>
    <row r="32" spans="1:21" x14ac:dyDescent="0.2">
      <c r="A32">
        <v>2.9666666666666661E-2</v>
      </c>
      <c r="B32">
        <v>7.0000000000000007E-2</v>
      </c>
      <c r="C32">
        <v>1.1000000000000001</v>
      </c>
      <c r="D32">
        <v>6</v>
      </c>
      <c r="E32">
        <v>0.37870183153691128</v>
      </c>
      <c r="F32">
        <v>0.1044676742288936</v>
      </c>
      <c r="G32">
        <v>0.1031561578068677</v>
      </c>
      <c r="H32">
        <v>4.5618267675316113E-2</v>
      </c>
      <c r="I32">
        <v>1.3142489728595981</v>
      </c>
      <c r="J32">
        <v>9.8585181126983343</v>
      </c>
      <c r="O32">
        <f t="shared" si="0"/>
        <v>1.2621964431330635</v>
      </c>
      <c r="P32">
        <f t="shared" si="1"/>
        <v>-0.18393081081724305</v>
      </c>
      <c r="Q32">
        <f t="shared" si="2"/>
        <v>1.8797653379533364E-2</v>
      </c>
      <c r="R32">
        <f t="shared" si="3"/>
        <v>-0.13673221429962046</v>
      </c>
      <c r="S32">
        <f t="shared" si="4"/>
        <v>1.6460194544254996</v>
      </c>
      <c r="T32">
        <f t="shared" si="5"/>
        <v>1.611835559485034</v>
      </c>
      <c r="U32">
        <f t="shared" si="6"/>
        <v>1.6456661026529225</v>
      </c>
    </row>
    <row r="33" spans="1:21" x14ac:dyDescent="0.2">
      <c r="A33">
        <v>4.2999999999999997E-2</v>
      </c>
      <c r="B33">
        <v>7.0000000000000007E-2</v>
      </c>
      <c r="C33">
        <v>1.1000000000000001</v>
      </c>
      <c r="D33">
        <v>6</v>
      </c>
      <c r="E33">
        <v>0.38049517594882998</v>
      </c>
      <c r="F33">
        <v>0.1036052469268956</v>
      </c>
      <c r="G33">
        <v>0.13004672413806229</v>
      </c>
      <c r="H33">
        <v>4.574716001177425E-2</v>
      </c>
      <c r="I33">
        <v>1.328337232062351</v>
      </c>
      <c r="J33">
        <v>9.8211813513839594</v>
      </c>
      <c r="O33">
        <f t="shared" si="0"/>
        <v>1.8519018451329448</v>
      </c>
      <c r="P33">
        <f t="shared" si="1"/>
        <v>-0.18162504451208852</v>
      </c>
      <c r="Q33">
        <f t="shared" si="2"/>
        <v>2.9718784544458105E-2</v>
      </c>
      <c r="R33">
        <f t="shared" si="3"/>
        <v>-0.14000163297863752</v>
      </c>
      <c r="S33">
        <f t="shared" si="4"/>
        <v>3.4830117641923084</v>
      </c>
      <c r="T33">
        <f t="shared" si="5"/>
        <v>3.4491409012434904</v>
      </c>
      <c r="U33">
        <f t="shared" si="6"/>
        <v>3.4821285580375085</v>
      </c>
    </row>
    <row r="34" spans="1:21" x14ac:dyDescent="0.2">
      <c r="A34">
        <v>3.0000000000000001E-3</v>
      </c>
      <c r="B34">
        <v>7.0000000000000007E-2</v>
      </c>
      <c r="C34">
        <v>1.8</v>
      </c>
      <c r="D34">
        <v>6</v>
      </c>
      <c r="E34">
        <v>0.30560574238717131</v>
      </c>
      <c r="F34">
        <v>8.1719316077958334E-2</v>
      </c>
      <c r="G34">
        <v>6.6690996644941424E-3</v>
      </c>
      <c r="H34">
        <v>5.4550504281097062E-2</v>
      </c>
      <c r="I34">
        <v>0.82674715867173099</v>
      </c>
      <c r="J34">
        <v>9.147311060331095</v>
      </c>
      <c r="O34">
        <f t="shared" si="0"/>
        <v>-0.85374781437512837</v>
      </c>
      <c r="P34">
        <f t="shared" si="1"/>
        <v>-2.4141247207565945E-2</v>
      </c>
      <c r="Q34">
        <f t="shared" si="2"/>
        <v>-0.35911072971183644</v>
      </c>
      <c r="R34">
        <f t="shared" si="3"/>
        <v>-0.19900953937556085</v>
      </c>
      <c r="S34">
        <f t="shared" si="4"/>
        <v>0.89803344332368606</v>
      </c>
      <c r="T34">
        <f t="shared" si="5"/>
        <v>0.76849012731278155</v>
      </c>
      <c r="U34">
        <f t="shared" si="6"/>
        <v>0.76907292712951836</v>
      </c>
    </row>
    <row r="35" spans="1:21" x14ac:dyDescent="0.2">
      <c r="A35">
        <v>1.6333333333333332E-2</v>
      </c>
      <c r="B35">
        <v>7.0000000000000007E-2</v>
      </c>
      <c r="C35">
        <v>1.8</v>
      </c>
      <c r="D35">
        <v>6</v>
      </c>
      <c r="E35">
        <v>0.30648399949901539</v>
      </c>
      <c r="F35">
        <v>8.2777755785069615E-2</v>
      </c>
      <c r="G35">
        <v>3.2425134436466253E-2</v>
      </c>
      <c r="H35">
        <v>5.4679098989777297E-2</v>
      </c>
      <c r="I35">
        <v>0.83253456848564689</v>
      </c>
      <c r="J35">
        <v>9.1119585684197162</v>
      </c>
      <c r="O35">
        <f t="shared" si="0"/>
        <v>-0.28892249042837165</v>
      </c>
      <c r="P35">
        <f t="shared" si="1"/>
        <v>-2.184080519181934E-2</v>
      </c>
      <c r="Q35">
        <f t="shared" si="2"/>
        <v>-0.35462436551500243</v>
      </c>
      <c r="R35">
        <f t="shared" si="3"/>
        <v>-0.20210520416639963</v>
      </c>
      <c r="S35">
        <f t="shared" si="4"/>
        <v>0.25055818041481959</v>
      </c>
      <c r="T35">
        <f t="shared" si="5"/>
        <v>0.12432271902647458</v>
      </c>
      <c r="U35">
        <f t="shared" si="6"/>
        <v>0.12479973979790158</v>
      </c>
    </row>
    <row r="36" spans="1:21" x14ac:dyDescent="0.2">
      <c r="A36" s="2">
        <v>2.9666666666666661E-2</v>
      </c>
      <c r="B36" s="2">
        <v>7.0000000000000007E-2</v>
      </c>
      <c r="C36" s="2">
        <v>1.8</v>
      </c>
      <c r="D36" s="2">
        <v>6</v>
      </c>
      <c r="E36" s="2">
        <v>0.30746085923340111</v>
      </c>
      <c r="F36" s="2">
        <v>8.2491946400125152E-2</v>
      </c>
      <c r="G36" s="2">
        <v>5.231649583816049E-2</v>
      </c>
      <c r="H36" s="2">
        <v>5.4756104908706783E-2</v>
      </c>
      <c r="I36" s="2">
        <v>0.84228751243417133</v>
      </c>
      <c r="J36" s="2">
        <v>9.0834564364909696</v>
      </c>
      <c r="K36" s="2"/>
      <c r="L36" s="2"/>
      <c r="M36" s="2"/>
      <c r="N36" s="2"/>
      <c r="O36" s="2">
        <f t="shared" si="0"/>
        <v>0.14729157539825632</v>
      </c>
      <c r="P36" s="2">
        <f t="shared" si="1"/>
        <v>-2.0463239558018157E-2</v>
      </c>
      <c r="Q36" s="2">
        <f t="shared" si="2"/>
        <v>-0.34706394384947958</v>
      </c>
      <c r="R36" s="2">
        <f t="shared" si="3"/>
        <v>-0.20460101256646501</v>
      </c>
      <c r="S36" s="2">
        <f t="shared" si="4"/>
        <v>0.18442850782008655</v>
      </c>
      <c r="T36" s="2">
        <f t="shared" si="5"/>
        <v>6.3556382526523E-2</v>
      </c>
      <c r="U36">
        <f t="shared" si="6"/>
        <v>6.3975126699731849E-2</v>
      </c>
    </row>
    <row r="37" spans="1:21" x14ac:dyDescent="0.2">
      <c r="A37">
        <v>4.2999999999999997E-2</v>
      </c>
      <c r="B37">
        <v>7.0000000000000007E-2</v>
      </c>
      <c r="C37">
        <v>1.8</v>
      </c>
      <c r="D37">
        <v>6</v>
      </c>
      <c r="E37">
        <v>0.3082268435669559</v>
      </c>
      <c r="F37">
        <v>8.2355475777038431E-2</v>
      </c>
      <c r="G37">
        <v>6.8243181312185652E-2</v>
      </c>
      <c r="H37">
        <v>5.4808338460619582E-2</v>
      </c>
      <c r="I37">
        <v>0.85065561250078936</v>
      </c>
      <c r="J37">
        <v>9.0609767364505878</v>
      </c>
      <c r="O37">
        <f t="shared" si="0"/>
        <v>0.49656099368828177</v>
      </c>
      <c r="P37">
        <f t="shared" si="1"/>
        <v>-1.9528828969238212E-2</v>
      </c>
      <c r="Q37">
        <f t="shared" si="2"/>
        <v>-0.34057704457303151</v>
      </c>
      <c r="R37">
        <f t="shared" si="3"/>
        <v>-0.20656946265756673</v>
      </c>
      <c r="S37">
        <f t="shared" si="4"/>
        <v>0.40561786180634007</v>
      </c>
      <c r="T37">
        <f t="shared" si="5"/>
        <v>0.28924376335532964</v>
      </c>
      <c r="U37">
        <f t="shared" si="6"/>
        <v>0.28962513851623939</v>
      </c>
    </row>
    <row r="38" spans="1:21" x14ac:dyDescent="0.2">
      <c r="A38">
        <v>3.0000000000000001E-3</v>
      </c>
      <c r="B38">
        <v>0.08</v>
      </c>
      <c r="C38">
        <v>0.4</v>
      </c>
      <c r="D38">
        <v>3</v>
      </c>
      <c r="E38">
        <v>0.4445879531719501</v>
      </c>
      <c r="F38">
        <v>9.0939951926641199E-2</v>
      </c>
      <c r="G38">
        <v>1.7801668269057821E-2</v>
      </c>
      <c r="H38">
        <v>2.978553918936671E-2</v>
      </c>
      <c r="I38">
        <v>2.0791696165121838</v>
      </c>
      <c r="J38">
        <v>11.591270726466741</v>
      </c>
      <c r="O38">
        <f t="shared" si="0"/>
        <v>-0.60961253795925829</v>
      </c>
      <c r="P38">
        <f t="shared" si="1"/>
        <v>-0.46716387854442376</v>
      </c>
      <c r="Q38">
        <f t="shared" si="2"/>
        <v>0.61175939264510371</v>
      </c>
      <c r="R38">
        <f t="shared" si="3"/>
        <v>1.4997436643322311E-2</v>
      </c>
      <c r="S38">
        <f t="shared" si="4"/>
        <v>0.96434401344917386</v>
      </c>
      <c r="T38">
        <f t="shared" si="5"/>
        <v>0.37185236954299861</v>
      </c>
      <c r="U38">
        <f t="shared" si="6"/>
        <v>0.59009445895966772</v>
      </c>
    </row>
    <row r="39" spans="1:21" x14ac:dyDescent="0.2">
      <c r="A39">
        <v>1.6333333333333332E-2</v>
      </c>
      <c r="B39">
        <v>0.08</v>
      </c>
      <c r="C39">
        <v>0.4</v>
      </c>
      <c r="D39">
        <v>3</v>
      </c>
      <c r="E39">
        <v>0.44679819377059687</v>
      </c>
      <c r="F39">
        <v>9.0373577451033124E-2</v>
      </c>
      <c r="G39">
        <v>8.2380325541535127E-2</v>
      </c>
      <c r="H39">
        <v>3.0622339883938719E-2</v>
      </c>
      <c r="I39">
        <v>2.1073911857128742</v>
      </c>
      <c r="J39">
        <v>11.477135695499159</v>
      </c>
      <c r="O39">
        <f t="shared" si="0"/>
        <v>0.80658608643717378</v>
      </c>
      <c r="P39">
        <f t="shared" si="1"/>
        <v>-0.45219427756818031</v>
      </c>
      <c r="Q39">
        <f t="shared" si="2"/>
        <v>0.63363657807199547</v>
      </c>
      <c r="R39">
        <f t="shared" si="3"/>
        <v>5.0031257004517788E-3</v>
      </c>
      <c r="S39">
        <f t="shared" si="4"/>
        <v>1.256581123837007</v>
      </c>
      <c r="T39">
        <f t="shared" si="5"/>
        <v>0.65060614610081058</v>
      </c>
      <c r="U39">
        <f t="shared" si="6"/>
        <v>0.85508581076621903</v>
      </c>
    </row>
    <row r="40" spans="1:21" x14ac:dyDescent="0.2">
      <c r="A40">
        <v>2.9666666666666661E-2</v>
      </c>
      <c r="B40">
        <v>0.08</v>
      </c>
      <c r="C40">
        <v>0.4</v>
      </c>
      <c r="D40">
        <v>3</v>
      </c>
      <c r="E40">
        <v>0.44828741329807748</v>
      </c>
      <c r="F40">
        <v>8.9445136599505218E-2</v>
      </c>
      <c r="G40">
        <v>0.12857822568273641</v>
      </c>
      <c r="H40">
        <v>3.1349575389668788E-2</v>
      </c>
      <c r="I40">
        <v>2.1402737890505961</v>
      </c>
      <c r="J40">
        <v>11.42324979034932</v>
      </c>
      <c r="O40">
        <f t="shared" si="0"/>
        <v>1.8196979316389563</v>
      </c>
      <c r="P40">
        <f t="shared" si="1"/>
        <v>-0.43918469785923453</v>
      </c>
      <c r="Q40">
        <f t="shared" si="2"/>
        <v>0.65912696825627592</v>
      </c>
      <c r="R40">
        <f t="shared" si="3"/>
        <v>2.8457008312788895E-4</v>
      </c>
      <c r="S40">
        <f t="shared" si="4"/>
        <v>3.9386322025076446</v>
      </c>
      <c r="T40">
        <f t="shared" si="5"/>
        <v>3.311300643391228</v>
      </c>
      <c r="U40">
        <f t="shared" si="6"/>
        <v>3.504183842224935</v>
      </c>
    </row>
    <row r="41" spans="1:21" x14ac:dyDescent="0.2">
      <c r="A41">
        <v>4.2999999999999997E-2</v>
      </c>
      <c r="B41">
        <v>0.08</v>
      </c>
      <c r="C41">
        <v>0.4</v>
      </c>
      <c r="D41">
        <v>3</v>
      </c>
      <c r="E41">
        <v>0.44958882403798373</v>
      </c>
      <c r="F41">
        <v>8.9059787002587987E-2</v>
      </c>
      <c r="G41">
        <v>0.16375540396518309</v>
      </c>
      <c r="H41">
        <v>3.1851924460998389E-2</v>
      </c>
      <c r="I41">
        <v>2.161158838205822</v>
      </c>
      <c r="J41">
        <v>11.36833153901657</v>
      </c>
      <c r="O41">
        <f t="shared" si="0"/>
        <v>2.5911272799382257</v>
      </c>
      <c r="P41">
        <f t="shared" si="1"/>
        <v>-0.43019813128804313</v>
      </c>
      <c r="Q41">
        <f t="shared" si="2"/>
        <v>0.67531692884172245</v>
      </c>
      <c r="R41">
        <f t="shared" si="3"/>
        <v>-4.5243836237679833E-3</v>
      </c>
      <c r="S41">
        <f t="shared" si="4"/>
        <v>7.3550844374311835</v>
      </c>
      <c r="T41">
        <f t="shared" si="5"/>
        <v>6.7139610508872432</v>
      </c>
      <c r="U41">
        <f t="shared" si="6"/>
        <v>6.8990314830509671</v>
      </c>
    </row>
    <row r="42" spans="1:21" x14ac:dyDescent="0.2">
      <c r="A42">
        <v>3.0000000000000001E-3</v>
      </c>
      <c r="B42">
        <v>0.08</v>
      </c>
      <c r="C42">
        <v>1.1000000000000001</v>
      </c>
      <c r="D42">
        <v>3</v>
      </c>
      <c r="E42">
        <v>0.28178753747791568</v>
      </c>
      <c r="F42">
        <v>3.020467147260791E-2</v>
      </c>
      <c r="G42">
        <v>2.138579651778454E-3</v>
      </c>
      <c r="H42">
        <v>4.8616545156649482E-2</v>
      </c>
      <c r="I42">
        <v>1.046291146878588</v>
      </c>
      <c r="J42">
        <v>10.117310195460719</v>
      </c>
      <c r="O42">
        <f t="shared" si="0"/>
        <v>-0.95310132342591114</v>
      </c>
      <c r="P42">
        <f t="shared" si="1"/>
        <v>-0.13029436213507184</v>
      </c>
      <c r="Q42">
        <f t="shared" si="2"/>
        <v>-0.18892159156698604</v>
      </c>
      <c r="R42">
        <f t="shared" si="3"/>
        <v>-0.11407091108049743</v>
      </c>
      <c r="S42">
        <f t="shared" si="4"/>
        <v>0.97408229403534641</v>
      </c>
      <c r="T42">
        <f t="shared" si="5"/>
        <v>0.92141430547095804</v>
      </c>
      <c r="U42">
        <f t="shared" si="6"/>
        <v>0.93839092627514331</v>
      </c>
    </row>
    <row r="43" spans="1:21" x14ac:dyDescent="0.2">
      <c r="A43">
        <v>1.6333333333333332E-2</v>
      </c>
      <c r="B43">
        <v>0.08</v>
      </c>
      <c r="C43">
        <v>1.1000000000000001</v>
      </c>
      <c r="D43">
        <v>3</v>
      </c>
      <c r="E43">
        <v>0.28226480929980591</v>
      </c>
      <c r="F43">
        <v>3.0584447295435462E-2</v>
      </c>
      <c r="G43">
        <v>1.076823401244659E-2</v>
      </c>
      <c r="H43">
        <v>4.8695928267975863E-2</v>
      </c>
      <c r="I43">
        <v>1.046727205101321</v>
      </c>
      <c r="J43">
        <v>10.0921827491232</v>
      </c>
      <c r="O43">
        <f t="shared" si="0"/>
        <v>-0.76385451727090814</v>
      </c>
      <c r="P43">
        <f t="shared" si="1"/>
        <v>-0.12887427069810617</v>
      </c>
      <c r="Q43">
        <f t="shared" si="2"/>
        <v>-0.18858356193696049</v>
      </c>
      <c r="R43">
        <f t="shared" si="3"/>
        <v>-0.11627121286136601</v>
      </c>
      <c r="S43">
        <f t="shared" si="4"/>
        <v>0.64916505597622542</v>
      </c>
      <c r="T43">
        <f t="shared" si="5"/>
        <v>0.59699271849542523</v>
      </c>
      <c r="U43">
        <f t="shared" si="6"/>
        <v>0.61360129614339398</v>
      </c>
    </row>
    <row r="44" spans="1:21" x14ac:dyDescent="0.2">
      <c r="A44">
        <v>2.9666666666666661E-2</v>
      </c>
      <c r="B44">
        <v>0.08</v>
      </c>
      <c r="C44">
        <v>1.1000000000000001</v>
      </c>
      <c r="D44">
        <v>3</v>
      </c>
      <c r="E44">
        <v>0.28271428868775689</v>
      </c>
      <c r="F44">
        <v>3.0884801022592639E-2</v>
      </c>
      <c r="G44">
        <v>1.8166520102838622E-2</v>
      </c>
      <c r="H44">
        <v>4.8767421645002577E-2</v>
      </c>
      <c r="I44">
        <v>1.0477223351924709</v>
      </c>
      <c r="J44">
        <v>10.0717415204243</v>
      </c>
      <c r="O44">
        <f t="shared" si="0"/>
        <v>-0.60161140125353907</v>
      </c>
      <c r="P44">
        <f t="shared" si="1"/>
        <v>-0.12759531940961397</v>
      </c>
      <c r="Q44">
        <f t="shared" si="2"/>
        <v>-0.18781214326165047</v>
      </c>
      <c r="R44">
        <f t="shared" si="3"/>
        <v>-0.11806116283499996</v>
      </c>
      <c r="S44">
        <f t="shared" si="4"/>
        <v>0.42742868297997533</v>
      </c>
      <c r="T44">
        <f t="shared" si="5"/>
        <v>0.37587471628819918</v>
      </c>
      <c r="U44">
        <f t="shared" si="6"/>
        <v>0.39215528182344062</v>
      </c>
    </row>
    <row r="45" spans="1:21" x14ac:dyDescent="0.2">
      <c r="A45">
        <v>4.2999999999999997E-2</v>
      </c>
      <c r="B45">
        <v>0.08</v>
      </c>
      <c r="C45">
        <v>1.1000000000000001</v>
      </c>
      <c r="D45">
        <v>3</v>
      </c>
      <c r="E45">
        <v>0.28307781836473261</v>
      </c>
      <c r="F45">
        <v>3.1109299820468971E-2</v>
      </c>
      <c r="G45">
        <v>2.4544163918229129E-2</v>
      </c>
      <c r="H45">
        <v>4.8830816743810089E-2</v>
      </c>
      <c r="I45">
        <v>1.0487838934819089</v>
      </c>
      <c r="J45">
        <v>10.05450844819082</v>
      </c>
      <c r="O45">
        <f t="shared" si="0"/>
        <v>-0.4617507912669051</v>
      </c>
      <c r="P45">
        <f t="shared" si="1"/>
        <v>-0.12646123893005204</v>
      </c>
      <c r="Q45">
        <f t="shared" si="2"/>
        <v>-0.18698922985898536</v>
      </c>
      <c r="R45">
        <f t="shared" si="3"/>
        <v>-0.11957018842462173</v>
      </c>
      <c r="S45">
        <f t="shared" si="4"/>
        <v>0.27846824023049266</v>
      </c>
      <c r="T45">
        <f t="shared" si="5"/>
        <v>0.2275108231955125</v>
      </c>
      <c r="U45">
        <f t="shared" si="6"/>
        <v>0.24350326814723619</v>
      </c>
    </row>
    <row r="46" spans="1:21" x14ac:dyDescent="0.2">
      <c r="A46">
        <v>3.0000000000000001E-3</v>
      </c>
      <c r="B46">
        <v>0.08</v>
      </c>
      <c r="C46">
        <v>1.8</v>
      </c>
      <c r="D46">
        <v>3</v>
      </c>
      <c r="E46">
        <v>0.21441765370484661</v>
      </c>
      <c r="F46">
        <v>9.9562595244278716E-4</v>
      </c>
      <c r="G46">
        <v>3.729158276491344E-5</v>
      </c>
      <c r="H46">
        <v>5.9273102229059647E-2</v>
      </c>
      <c r="I46">
        <v>0.65485449311100741</v>
      </c>
      <c r="J46">
        <v>9.2613152036676674</v>
      </c>
      <c r="O46">
        <f t="shared" si="0"/>
        <v>-0.99918220213234832</v>
      </c>
      <c r="P46">
        <f t="shared" si="1"/>
        <v>6.0341721450083166E-2</v>
      </c>
      <c r="Q46">
        <f t="shared" si="2"/>
        <v>-0.49236085805348262</v>
      </c>
      <c r="R46">
        <f t="shared" si="3"/>
        <v>-0.18902668969635136</v>
      </c>
      <c r="S46">
        <f t="shared" si="4"/>
        <v>1.2801565003663307</v>
      </c>
      <c r="T46">
        <f t="shared" si="5"/>
        <v>1.0340961624756098</v>
      </c>
      <c r="U46">
        <f t="shared" si="6"/>
        <v>1.037737285823169</v>
      </c>
    </row>
    <row r="47" spans="1:21" x14ac:dyDescent="0.2">
      <c r="A47">
        <v>1.6333333333333332E-2</v>
      </c>
      <c r="B47">
        <v>0.08</v>
      </c>
      <c r="C47">
        <v>1.8</v>
      </c>
      <c r="D47">
        <v>3</v>
      </c>
      <c r="E47">
        <v>0.21450854334008079</v>
      </c>
      <c r="F47">
        <v>9.3678445865341849E-4</v>
      </c>
      <c r="G47">
        <v>1.8002344604164811E-4</v>
      </c>
      <c r="H47">
        <v>5.9238938682066047E-2</v>
      </c>
      <c r="I47">
        <v>0.65469069825356652</v>
      </c>
      <c r="J47">
        <v>9.2538478277578253</v>
      </c>
      <c r="O47">
        <f t="shared" si="0"/>
        <v>-0.99605211741136734</v>
      </c>
      <c r="P47">
        <f t="shared" si="1"/>
        <v>5.9730566763256693E-2</v>
      </c>
      <c r="Q47">
        <f t="shared" si="2"/>
        <v>-0.49248783081118874</v>
      </c>
      <c r="R47">
        <f t="shared" si="3"/>
        <v>-0.18968057550281739</v>
      </c>
      <c r="S47">
        <f t="shared" si="4"/>
        <v>1.2742105454257182</v>
      </c>
      <c r="T47">
        <f t="shared" si="5"/>
        <v>1.0280985413227484</v>
      </c>
      <c r="U47">
        <f t="shared" si="6"/>
        <v>1.0316662819286082</v>
      </c>
    </row>
    <row r="48" spans="1:21" x14ac:dyDescent="0.2">
      <c r="A48">
        <v>2.9666666666666661E-2</v>
      </c>
      <c r="B48">
        <v>0.08</v>
      </c>
      <c r="C48">
        <v>1.8</v>
      </c>
      <c r="D48">
        <v>3</v>
      </c>
      <c r="E48">
        <v>0.214619032348151</v>
      </c>
      <c r="F48">
        <v>8.8142049714700136E-4</v>
      </c>
      <c r="G48">
        <v>2.9089672669980749E-4</v>
      </c>
      <c r="H48">
        <v>5.9207777511640088E-2</v>
      </c>
      <c r="I48">
        <v>0.65463541849801477</v>
      </c>
      <c r="J48">
        <v>9.2471439915740259</v>
      </c>
      <c r="O48">
        <f t="shared" si="0"/>
        <v>-0.99362068581798657</v>
      </c>
      <c r="P48">
        <f t="shared" si="1"/>
        <v>5.9173121854026643E-2</v>
      </c>
      <c r="Q48">
        <f t="shared" si="2"/>
        <v>-0.49253068333487227</v>
      </c>
      <c r="R48">
        <f t="shared" si="3"/>
        <v>-0.1902676014383515</v>
      </c>
      <c r="S48">
        <f t="shared" si="4"/>
        <v>1.2695717598187772</v>
      </c>
      <c r="T48">
        <f t="shared" si="5"/>
        <v>1.0234838274425093</v>
      </c>
      <c r="U48">
        <f t="shared" si="6"/>
        <v>1.0269852857924608</v>
      </c>
    </row>
    <row r="49" spans="1:21" x14ac:dyDescent="0.2">
      <c r="A49">
        <v>4.2999999999999997E-2</v>
      </c>
      <c r="B49">
        <v>0.08</v>
      </c>
      <c r="C49">
        <v>1.8</v>
      </c>
      <c r="D49">
        <v>3</v>
      </c>
      <c r="E49">
        <v>0.21472776960893469</v>
      </c>
      <c r="F49">
        <v>8.2932854576561353E-4</v>
      </c>
      <c r="G49">
        <v>3.7622784176132159E-4</v>
      </c>
      <c r="H49">
        <v>5.9179214962065158E-2</v>
      </c>
      <c r="I49">
        <v>0.6546058813539517</v>
      </c>
      <c r="J49">
        <v>9.240941713782604</v>
      </c>
      <c r="O49">
        <f t="shared" si="0"/>
        <v>-0.99174938943505875</v>
      </c>
      <c r="P49">
        <f t="shared" si="1"/>
        <v>5.8662163900986747E-2</v>
      </c>
      <c r="Q49">
        <f t="shared" si="2"/>
        <v>-0.4925535803457739</v>
      </c>
      <c r="R49">
        <f t="shared" si="3"/>
        <v>-0.19081070807507847</v>
      </c>
      <c r="S49">
        <f t="shared" si="4"/>
        <v>1.2660258567459115</v>
      </c>
      <c r="T49">
        <f t="shared" si="5"/>
        <v>1.0199755777609247</v>
      </c>
      <c r="U49">
        <f t="shared" si="6"/>
        <v>1.0234168272344708</v>
      </c>
    </row>
    <row r="50" spans="1:21" x14ac:dyDescent="0.2">
      <c r="A50">
        <v>3.0000000000000001E-3</v>
      </c>
      <c r="B50">
        <v>0.08</v>
      </c>
      <c r="C50">
        <v>0.4</v>
      </c>
      <c r="D50">
        <v>4.5</v>
      </c>
      <c r="E50">
        <v>0.49050766978496491</v>
      </c>
      <c r="F50">
        <v>0.1236154549219968</v>
      </c>
      <c r="G50">
        <v>3.2069675439420638E-2</v>
      </c>
      <c r="H50">
        <v>2.996111111842556E-2</v>
      </c>
      <c r="I50">
        <v>2.1501016208868382</v>
      </c>
      <c r="J50">
        <v>11.57534437821243</v>
      </c>
      <c r="O50">
        <f t="shared" si="0"/>
        <v>-0.29671764387235444</v>
      </c>
      <c r="P50">
        <f t="shared" si="1"/>
        <v>-0.46402305691546403</v>
      </c>
      <c r="Q50">
        <f t="shared" si="2"/>
        <v>0.66674544254793655</v>
      </c>
      <c r="R50">
        <f t="shared" si="3"/>
        <v>1.3602835220002605E-2</v>
      </c>
      <c r="S50">
        <f t="shared" si="4"/>
        <v>0.74809327981879969</v>
      </c>
      <c r="T50">
        <f t="shared" si="5"/>
        <v>8.8226397311183896E-2</v>
      </c>
      <c r="U50">
        <f t="shared" si="6"/>
        <v>0.30354379466035586</v>
      </c>
    </row>
    <row r="51" spans="1:21" x14ac:dyDescent="0.2">
      <c r="A51">
        <v>1.6333333333333332E-2</v>
      </c>
      <c r="B51">
        <v>0.08</v>
      </c>
      <c r="C51">
        <v>0.4</v>
      </c>
      <c r="D51">
        <v>4.5</v>
      </c>
      <c r="E51">
        <v>0.49462885827682102</v>
      </c>
      <c r="F51">
        <v>0.122377371067604</v>
      </c>
      <c r="G51">
        <v>0.1404561718016249</v>
      </c>
      <c r="H51">
        <v>3.1345760582394411E-2</v>
      </c>
      <c r="I51">
        <v>2.205002428994765</v>
      </c>
      <c r="J51">
        <v>11.40405022865362</v>
      </c>
      <c r="O51">
        <f t="shared" si="0"/>
        <v>2.0801792061759845</v>
      </c>
      <c r="P51">
        <f t="shared" si="1"/>
        <v>-0.43925294128095865</v>
      </c>
      <c r="Q51">
        <f t="shared" si="2"/>
        <v>0.70930420852307352</v>
      </c>
      <c r="R51">
        <f t="shared" si="3"/>
        <v>-1.3966524821698465E-3</v>
      </c>
      <c r="S51">
        <f t="shared" si="4"/>
        <v>5.0232030870976221</v>
      </c>
      <c r="T51">
        <f t="shared" si="5"/>
        <v>4.3271474804451051</v>
      </c>
      <c r="U51">
        <f t="shared" si="6"/>
        <v>4.5200906268690781</v>
      </c>
    </row>
    <row r="52" spans="1:21" x14ac:dyDescent="0.2">
      <c r="A52">
        <v>2.9666666666666661E-2</v>
      </c>
      <c r="B52">
        <v>0.08</v>
      </c>
      <c r="C52">
        <v>0.4</v>
      </c>
      <c r="D52">
        <v>4.5</v>
      </c>
      <c r="E52">
        <v>0.49788321484970621</v>
      </c>
      <c r="F52">
        <v>0.1211391426290581</v>
      </c>
      <c r="G52">
        <v>0.2119730750319494</v>
      </c>
      <c r="H52">
        <v>3.2256595947597E-2</v>
      </c>
      <c r="I52">
        <v>2.253197029019772</v>
      </c>
      <c r="J52">
        <v>11.300447067017661</v>
      </c>
      <c r="O52">
        <f t="shared" si="0"/>
        <v>3.6485323471918725</v>
      </c>
      <c r="P52">
        <f t="shared" si="1"/>
        <v>-0.42295892759218245</v>
      </c>
      <c r="Q52">
        <f t="shared" si="2"/>
        <v>0.74666436358121857</v>
      </c>
      <c r="R52">
        <f t="shared" si="3"/>
        <v>-1.0468733185844049E-2</v>
      </c>
      <c r="S52">
        <f t="shared" si="4"/>
        <v>14.048299809152025</v>
      </c>
      <c r="T52">
        <f t="shared" si="5"/>
        <v>13.311897882879951</v>
      </c>
      <c r="U52">
        <f t="shared" si="6"/>
        <v>13.49079213730988</v>
      </c>
    </row>
    <row r="53" spans="1:21" x14ac:dyDescent="0.2">
      <c r="A53">
        <v>4.2999999999999997E-2</v>
      </c>
      <c r="B53">
        <v>0.08</v>
      </c>
      <c r="C53">
        <v>0.4</v>
      </c>
      <c r="D53">
        <v>4.5</v>
      </c>
      <c r="E53">
        <v>0.50051289233609608</v>
      </c>
      <c r="F53">
        <v>0.1200877604538635</v>
      </c>
      <c r="G53">
        <v>0.26125799602074112</v>
      </c>
      <c r="H53">
        <v>3.2928714581977207E-2</v>
      </c>
      <c r="I53">
        <v>2.280409864631983</v>
      </c>
      <c r="J53">
        <v>11.2315889770315</v>
      </c>
      <c r="O53">
        <f t="shared" si="0"/>
        <v>4.7293420179987082</v>
      </c>
      <c r="P53">
        <f t="shared" si="1"/>
        <v>-0.41093533842616803</v>
      </c>
      <c r="Q53">
        <f t="shared" si="2"/>
        <v>0.76775958498603336</v>
      </c>
      <c r="R53">
        <f t="shared" si="3"/>
        <v>-1.649833826344136E-2</v>
      </c>
      <c r="S53">
        <f t="shared" si="4"/>
        <v>23.125270751078908</v>
      </c>
      <c r="T53">
        <f t="shared" si="5"/>
        <v>22.36694811837355</v>
      </c>
      <c r="U53">
        <f t="shared" si="6"/>
        <v>22.53581597074098</v>
      </c>
    </row>
    <row r="54" spans="1:21" x14ac:dyDescent="0.2">
      <c r="A54">
        <v>3.0000000000000001E-3</v>
      </c>
      <c r="B54">
        <v>0.08</v>
      </c>
      <c r="C54">
        <v>1.1000000000000001</v>
      </c>
      <c r="D54">
        <v>4.5</v>
      </c>
      <c r="E54">
        <v>0.34237255603358469</v>
      </c>
      <c r="F54">
        <v>7.5033121802809327E-2</v>
      </c>
      <c r="G54">
        <v>7.9947078118860447E-3</v>
      </c>
      <c r="H54">
        <v>4.8685575209088498E-2</v>
      </c>
      <c r="I54">
        <v>1.153655764556861</v>
      </c>
      <c r="J54">
        <v>10.111130716104411</v>
      </c>
      <c r="O54">
        <f t="shared" si="0"/>
        <v>-0.8246774602656568</v>
      </c>
      <c r="P54">
        <f t="shared" si="1"/>
        <v>-0.12905947747605545</v>
      </c>
      <c r="Q54">
        <f t="shared" si="2"/>
        <v>-0.10569320576987519</v>
      </c>
      <c r="R54">
        <f t="shared" si="3"/>
        <v>-0.11461202135688173</v>
      </c>
      <c r="S54">
        <f t="shared" si="4"/>
        <v>0.7210562313820299</v>
      </c>
      <c r="T54">
        <f t="shared" si="5"/>
        <v>0.69322882890972426</v>
      </c>
      <c r="U54">
        <f t="shared" si="6"/>
        <v>0.70988517763611669</v>
      </c>
    </row>
    <row r="55" spans="1:21" x14ac:dyDescent="0.2">
      <c r="A55" s="3">
        <v>1.6333333333333332E-2</v>
      </c>
      <c r="B55" s="3">
        <v>0.08</v>
      </c>
      <c r="C55" s="3">
        <v>1.1000000000000001</v>
      </c>
      <c r="D55" s="3">
        <v>4.5</v>
      </c>
      <c r="E55" s="3">
        <v>0.34360634098607618</v>
      </c>
      <c r="F55" s="3">
        <v>7.543447676902762E-2</v>
      </c>
      <c r="G55" s="3">
        <v>3.8370449956901469E-2</v>
      </c>
      <c r="H55" s="3">
        <v>4.9016203595104627E-2</v>
      </c>
      <c r="I55" s="3">
        <v>1.161968829697148</v>
      </c>
      <c r="J55" s="3">
        <v>10.06432069797232</v>
      </c>
      <c r="K55" s="3"/>
      <c r="L55" s="3"/>
      <c r="M55" s="3"/>
      <c r="N55" s="3"/>
      <c r="O55" s="3">
        <f t="shared" si="0"/>
        <v>-0.158542764103038</v>
      </c>
      <c r="P55" s="3">
        <f t="shared" si="1"/>
        <v>-0.12314483729687606</v>
      </c>
      <c r="Q55" s="3">
        <f t="shared" si="2"/>
        <v>-9.9248969227017092E-2</v>
      </c>
      <c r="R55" s="3">
        <f t="shared" si="3"/>
        <v>-0.11871097215653938</v>
      </c>
      <c r="S55" s="3">
        <f t="shared" si="4"/>
        <v>6.424311180528168E-2</v>
      </c>
      <c r="T55" s="3">
        <f t="shared" si="5"/>
        <v>3.922810295978222E-2</v>
      </c>
      <c r="U55" s="3">
        <f t="shared" si="6"/>
        <v>5.43927539126563E-2</v>
      </c>
    </row>
    <row r="56" spans="1:21" x14ac:dyDescent="0.2">
      <c r="A56">
        <v>2.9666666666666661E-2</v>
      </c>
      <c r="B56">
        <v>0.08</v>
      </c>
      <c r="C56">
        <v>1.1000000000000001</v>
      </c>
      <c r="D56">
        <v>4.5</v>
      </c>
      <c r="E56">
        <v>0.34478887426856791</v>
      </c>
      <c r="F56">
        <v>7.5237653455564699E-2</v>
      </c>
      <c r="G56">
        <v>6.1761726389779413E-2</v>
      </c>
      <c r="H56">
        <v>4.925499329415798E-2</v>
      </c>
      <c r="I56">
        <v>1.171206917800683</v>
      </c>
      <c r="J56">
        <v>10.02623379813552</v>
      </c>
      <c r="O56">
        <f t="shared" si="0"/>
        <v>0.35442382433726777</v>
      </c>
      <c r="P56">
        <f t="shared" si="1"/>
        <v>-0.11887310743903433</v>
      </c>
      <c r="Q56">
        <f t="shared" si="2"/>
        <v>-9.2087660619625616E-2</v>
      </c>
      <c r="R56">
        <f t="shared" si="3"/>
        <v>-0.1220460772210578</v>
      </c>
      <c r="S56">
        <f t="shared" si="4"/>
        <v>0.1631224451335104</v>
      </c>
      <c r="T56">
        <f t="shared" si="5"/>
        <v>0.14051149222290285</v>
      </c>
      <c r="U56">
        <f t="shared" si="6"/>
        <v>0.15464230789511504</v>
      </c>
    </row>
    <row r="57" spans="1:21" x14ac:dyDescent="0.2">
      <c r="A57">
        <v>4.2999999999999997E-2</v>
      </c>
      <c r="B57">
        <v>0.08</v>
      </c>
      <c r="C57">
        <v>1.1000000000000001</v>
      </c>
      <c r="D57">
        <v>4.5</v>
      </c>
      <c r="E57">
        <v>0.34569324552335579</v>
      </c>
      <c r="F57">
        <v>7.4972758591233007E-2</v>
      </c>
      <c r="G57">
        <v>8.0165811407688289E-2</v>
      </c>
      <c r="H57">
        <v>4.9430640732012719E-2</v>
      </c>
      <c r="I57">
        <v>1.1885460491507369</v>
      </c>
      <c r="J57">
        <v>10.000052736058169</v>
      </c>
      <c r="O57">
        <f t="shared" si="0"/>
        <v>0.75802217999316412</v>
      </c>
      <c r="P57">
        <f t="shared" si="1"/>
        <v>-0.11573093502660607</v>
      </c>
      <c r="Q57">
        <f t="shared" si="2"/>
        <v>-7.8646473526560554E-2</v>
      </c>
      <c r="R57">
        <f t="shared" si="3"/>
        <v>-0.12433863957459113</v>
      </c>
      <c r="S57">
        <f t="shared" si="4"/>
        <v>0.60963663977314542</v>
      </c>
      <c r="T57">
        <f t="shared" si="5"/>
        <v>0.59005772265284895</v>
      </c>
      <c r="U57">
        <f t="shared" si="6"/>
        <v>0.60345137197498144</v>
      </c>
    </row>
    <row r="58" spans="1:21" x14ac:dyDescent="0.2">
      <c r="A58">
        <v>3.0000000000000001E-3</v>
      </c>
      <c r="B58">
        <v>0.08</v>
      </c>
      <c r="C58">
        <v>1.8</v>
      </c>
      <c r="D58">
        <v>4.5</v>
      </c>
      <c r="E58">
        <v>0.27195291690593848</v>
      </c>
      <c r="F58">
        <v>4.7507300288455623E-2</v>
      </c>
      <c r="G58">
        <v>2.8668002617677872E-3</v>
      </c>
      <c r="H58">
        <v>5.931494089164159E-2</v>
      </c>
      <c r="I58">
        <v>0.74968082991406781</v>
      </c>
      <c r="J58">
        <v>9.2590023306082898</v>
      </c>
      <c r="O58">
        <f t="shared" si="0"/>
        <v>-0.9371315732068467</v>
      </c>
      <c r="P58">
        <f t="shared" si="1"/>
        <v>6.1090176952443509E-2</v>
      </c>
      <c r="Q58">
        <f t="shared" si="2"/>
        <v>-0.41885206983405598</v>
      </c>
      <c r="R58">
        <f t="shared" si="3"/>
        <v>-0.1892292179852636</v>
      </c>
      <c r="S58">
        <f t="shared" si="4"/>
        <v>1.0931923485648076</v>
      </c>
      <c r="T58">
        <f t="shared" si="5"/>
        <v>0.91402328244045383</v>
      </c>
      <c r="U58">
        <f t="shared" si="6"/>
        <v>0.91775529216053464</v>
      </c>
    </row>
    <row r="59" spans="1:21" x14ac:dyDescent="0.2">
      <c r="A59">
        <v>1.6333333333333332E-2</v>
      </c>
      <c r="B59">
        <v>0.08</v>
      </c>
      <c r="C59">
        <v>1.8</v>
      </c>
      <c r="D59">
        <v>4.5</v>
      </c>
      <c r="E59">
        <v>0.27236229780231908</v>
      </c>
      <c r="F59">
        <v>4.7862973017086988E-2</v>
      </c>
      <c r="G59">
        <v>1.4311632150501271E-2</v>
      </c>
      <c r="H59">
        <v>5.9450984063880483E-2</v>
      </c>
      <c r="I59">
        <v>0.75125187102798563</v>
      </c>
      <c r="J59">
        <v>9.2444982332882706</v>
      </c>
      <c r="O59">
        <f t="shared" si="0"/>
        <v>-0.68614841775216517</v>
      </c>
      <c r="P59">
        <f t="shared" si="1"/>
        <v>6.3523865185697401E-2</v>
      </c>
      <c r="Q59">
        <f t="shared" si="2"/>
        <v>-0.41763420850543753</v>
      </c>
      <c r="R59">
        <f t="shared" si="3"/>
        <v>-0.19049927904656125</v>
      </c>
      <c r="S59">
        <f t="shared" si="4"/>
        <v>0.68554324006315337</v>
      </c>
      <c r="T59">
        <f t="shared" si="5"/>
        <v>0.50708962650105938</v>
      </c>
      <c r="U59">
        <f t="shared" si="6"/>
        <v>0.51112490794919008</v>
      </c>
    </row>
    <row r="60" spans="1:21" x14ac:dyDescent="0.2">
      <c r="A60">
        <v>2.9666666666666661E-2</v>
      </c>
      <c r="B60">
        <v>0.08</v>
      </c>
      <c r="C60">
        <v>1.8</v>
      </c>
      <c r="D60">
        <v>4.5</v>
      </c>
      <c r="E60">
        <v>0.27281169842599129</v>
      </c>
      <c r="F60">
        <v>4.7555969270524252E-2</v>
      </c>
      <c r="G60">
        <v>2.3667170733233631E-2</v>
      </c>
      <c r="H60">
        <v>5.9554472761271279E-2</v>
      </c>
      <c r="I60">
        <v>0.75435103044918606</v>
      </c>
      <c r="J60">
        <v>9.2309902873920215</v>
      </c>
      <c r="O60">
        <f t="shared" si="0"/>
        <v>-0.48098309795540284</v>
      </c>
      <c r="P60">
        <f t="shared" si="1"/>
        <v>6.5375183564781419E-2</v>
      </c>
      <c r="Q60">
        <f t="shared" si="2"/>
        <v>-0.41523175934171624</v>
      </c>
      <c r="R60">
        <f t="shared" si="3"/>
        <v>-0.19168211143677569</v>
      </c>
      <c r="S60">
        <f t="shared" si="4"/>
        <v>0.44477810095578296</v>
      </c>
      <c r="T60">
        <f t="shared" si="5"/>
        <v>0.26808677236363715</v>
      </c>
      <c r="U60">
        <f t="shared" si="6"/>
        <v>0.27236068698976601</v>
      </c>
    </row>
    <row r="61" spans="1:21" x14ac:dyDescent="0.2">
      <c r="A61">
        <v>4.2999999999999997E-2</v>
      </c>
      <c r="B61">
        <v>0.08</v>
      </c>
      <c r="C61">
        <v>1.8</v>
      </c>
      <c r="D61">
        <v>4.5</v>
      </c>
      <c r="E61">
        <v>0.2730907633565775</v>
      </c>
      <c r="F61">
        <v>4.7801105260338941E-2</v>
      </c>
      <c r="G61">
        <v>3.1829542510368902E-2</v>
      </c>
      <c r="H61">
        <v>5.9650857427705137E-2</v>
      </c>
      <c r="I61">
        <v>0.75558785124218097</v>
      </c>
      <c r="J61">
        <v>9.2210465288090742</v>
      </c>
      <c r="O61">
        <f t="shared" si="0"/>
        <v>-0.30198371687787495</v>
      </c>
      <c r="P61">
        <f t="shared" si="1"/>
        <v>6.7099417311362056E-2</v>
      </c>
      <c r="Q61">
        <f t="shared" si="2"/>
        <v>-0.41427298353319308</v>
      </c>
      <c r="R61">
        <f t="shared" si="3"/>
        <v>-0.19255284336172729</v>
      </c>
      <c r="S61">
        <f t="shared" si="4"/>
        <v>0.30439519943508003</v>
      </c>
      <c r="T61">
        <f t="shared" si="5"/>
        <v>0.12827076274606242</v>
      </c>
      <c r="U61">
        <f t="shared" si="6"/>
        <v>0.13277309454958675</v>
      </c>
    </row>
    <row r="62" spans="1:21" x14ac:dyDescent="0.2">
      <c r="A62" s="2">
        <v>3.0000000000000001E-3</v>
      </c>
      <c r="B62" s="2">
        <v>0.08</v>
      </c>
      <c r="C62" s="2">
        <v>0.4</v>
      </c>
      <c r="D62" s="2">
        <v>6</v>
      </c>
      <c r="E62" s="2">
        <v>0.51475164997442424</v>
      </c>
      <c r="F62" s="2">
        <v>0.14101985013116369</v>
      </c>
      <c r="G62" s="2">
        <v>4.4860208337031103E-2</v>
      </c>
      <c r="H62" s="2">
        <v>3.00978661812994E-2</v>
      </c>
      <c r="I62" s="2">
        <v>2.1821333485909542</v>
      </c>
      <c r="J62" s="2">
        <v>11.555786585443229</v>
      </c>
      <c r="K62" s="2"/>
      <c r="L62" s="2"/>
      <c r="M62" s="2"/>
      <c r="N62" s="2"/>
      <c r="O62" s="2">
        <f t="shared" si="0"/>
        <v>-1.6223501380896899E-2</v>
      </c>
      <c r="P62" s="2">
        <f t="shared" si="1"/>
        <v>-0.46157663360823969</v>
      </c>
      <c r="Q62" s="2">
        <f t="shared" si="2"/>
        <v>0.69157623921779388</v>
      </c>
      <c r="R62" s="2">
        <f t="shared" si="3"/>
        <v>1.1890243909214485E-2</v>
      </c>
      <c r="S62" s="2">
        <f t="shared" si="4"/>
        <v>0.69173526324101897</v>
      </c>
      <c r="T62" s="2">
        <f t="shared" si="5"/>
        <v>4.045798972765757E-4</v>
      </c>
      <c r="U62">
        <f t="shared" si="6"/>
        <v>0.21345756859039172</v>
      </c>
    </row>
    <row r="63" spans="1:21" x14ac:dyDescent="0.2">
      <c r="A63">
        <v>1.6333333333333332E-2</v>
      </c>
      <c r="B63">
        <v>0.08</v>
      </c>
      <c r="C63">
        <v>0.4</v>
      </c>
      <c r="D63">
        <v>6</v>
      </c>
      <c r="E63">
        <v>0.52034661939200977</v>
      </c>
      <c r="F63">
        <v>0.1390272863464633</v>
      </c>
      <c r="G63">
        <v>0.18621090198757531</v>
      </c>
      <c r="H63">
        <v>3.1965254143127821E-2</v>
      </c>
      <c r="I63">
        <v>2.2697763842579892</v>
      </c>
      <c r="J63">
        <v>11.386712806905919</v>
      </c>
      <c r="O63">
        <f t="shared" si="0"/>
        <v>3.0835724120082304</v>
      </c>
      <c r="P63">
        <f t="shared" si="1"/>
        <v>-0.42817076667034309</v>
      </c>
      <c r="Q63">
        <f t="shared" si="2"/>
        <v>0.75951657694417762</v>
      </c>
      <c r="R63">
        <f t="shared" si="3"/>
        <v>-2.914815507362591E-3</v>
      </c>
      <c r="S63">
        <f t="shared" si="4"/>
        <v>10.26862295233177</v>
      </c>
      <c r="T63">
        <f t="shared" si="5"/>
        <v>9.5084273162476993</v>
      </c>
      <c r="U63">
        <f t="shared" si="6"/>
        <v>9.6917575216787686</v>
      </c>
    </row>
    <row r="64" spans="1:21" x14ac:dyDescent="0.2">
      <c r="A64">
        <v>2.9666666666666661E-2</v>
      </c>
      <c r="B64">
        <v>0.08</v>
      </c>
      <c r="C64">
        <v>0.4</v>
      </c>
      <c r="D64">
        <v>6</v>
      </c>
      <c r="E64">
        <v>0.52499403295230451</v>
      </c>
      <c r="F64">
        <v>0.13729423793936801</v>
      </c>
      <c r="G64">
        <v>0.2716640690263642</v>
      </c>
      <c r="H64">
        <v>3.3058013762555377E-2</v>
      </c>
      <c r="I64">
        <v>2.3252633887925138</v>
      </c>
      <c r="J64">
        <v>11.267436641787651</v>
      </c>
      <c r="O64">
        <f t="shared" si="0"/>
        <v>4.9575453733851793</v>
      </c>
      <c r="P64">
        <f t="shared" si="1"/>
        <v>-0.40862229405088768</v>
      </c>
      <c r="Q64">
        <f t="shared" si="2"/>
        <v>0.80252975875388666</v>
      </c>
      <c r="R64">
        <f t="shared" si="3"/>
        <v>-1.3359313328577E-2</v>
      </c>
      <c r="S64">
        <f t="shared" si="4"/>
        <v>25.38846079330639</v>
      </c>
      <c r="T64">
        <f t="shared" si="5"/>
        <v>24.577434600425406</v>
      </c>
      <c r="U64">
        <f t="shared" si="6"/>
        <v>24.744406779620817</v>
      </c>
    </row>
    <row r="65" spans="1:22" x14ac:dyDescent="0.2">
      <c r="A65">
        <v>4.2999999999999997E-2</v>
      </c>
      <c r="B65">
        <v>0.08</v>
      </c>
      <c r="C65">
        <v>0.4</v>
      </c>
      <c r="D65">
        <v>6</v>
      </c>
      <c r="E65">
        <v>0.52847308161475304</v>
      </c>
      <c r="F65">
        <v>0.13577821464409781</v>
      </c>
      <c r="G65">
        <v>0.32741757628265622</v>
      </c>
      <c r="H65">
        <v>3.3738109166665947E-2</v>
      </c>
      <c r="I65">
        <v>2.3810884378048911</v>
      </c>
      <c r="J65">
        <v>11.215411108525551</v>
      </c>
      <c r="O65">
        <f t="shared" si="0"/>
        <v>6.1802100061986014</v>
      </c>
      <c r="P65">
        <f t="shared" si="1"/>
        <v>-0.39645600775195083</v>
      </c>
      <c r="Q65">
        <f t="shared" si="2"/>
        <v>0.8458049905464271</v>
      </c>
      <c r="R65">
        <f t="shared" si="3"/>
        <v>-1.791496422718469E-2</v>
      </c>
      <c r="S65">
        <f t="shared" si="4"/>
        <v>39.067880114776429</v>
      </c>
      <c r="T65">
        <f t="shared" si="5"/>
        <v>38.195316666660574</v>
      </c>
      <c r="U65">
        <f t="shared" si="6"/>
        <v>38.352494032743188</v>
      </c>
    </row>
    <row r="66" spans="1:22" x14ac:dyDescent="0.2">
      <c r="A66">
        <v>3.0000000000000001E-3</v>
      </c>
      <c r="B66">
        <v>0.08</v>
      </c>
      <c r="C66">
        <v>1.1000000000000001</v>
      </c>
      <c r="D66">
        <v>6</v>
      </c>
      <c r="E66">
        <v>0.38027901339167619</v>
      </c>
      <c r="F66">
        <v>0.1018952737174145</v>
      </c>
      <c r="G66">
        <v>1.406944448483863E-2</v>
      </c>
      <c r="H66">
        <v>4.8723823898262353E-2</v>
      </c>
      <c r="I66">
        <v>1.218000136420915</v>
      </c>
      <c r="J66">
        <v>10.1014675933336</v>
      </c>
      <c r="O66">
        <f t="shared" si="0"/>
        <v>-0.69145955077108268</v>
      </c>
      <c r="P66">
        <f t="shared" si="1"/>
        <v>-0.12837524332267702</v>
      </c>
      <c r="Q66">
        <f t="shared" si="2"/>
        <v>-5.5813847735724849E-2</v>
      </c>
      <c r="R66">
        <f t="shared" si="3"/>
        <v>-0.11545817921772325</v>
      </c>
      <c r="S66">
        <f t="shared" si="4"/>
        <v>0.51104229019804259</v>
      </c>
      <c r="T66">
        <f t="shared" si="5"/>
        <v>0.49144690150081938</v>
      </c>
      <c r="U66">
        <f t="shared" si="6"/>
        <v>0.50792710459897594</v>
      </c>
    </row>
    <row r="67" spans="1:22" x14ac:dyDescent="0.2">
      <c r="A67">
        <v>1.6333333333333332E-2</v>
      </c>
      <c r="B67">
        <v>0.08</v>
      </c>
      <c r="C67">
        <v>1.1000000000000001</v>
      </c>
      <c r="D67">
        <v>6</v>
      </c>
      <c r="E67">
        <v>0.38267291839156969</v>
      </c>
      <c r="F67">
        <v>0.1024008821551773</v>
      </c>
      <c r="G67">
        <v>6.5463265227922215E-2</v>
      </c>
      <c r="H67">
        <v>4.9160582512156561E-2</v>
      </c>
      <c r="I67">
        <v>1.2381885672747419</v>
      </c>
      <c r="J67">
        <v>10.020575329732941</v>
      </c>
      <c r="O67">
        <f t="shared" ref="O67:O73" si="7">(G67-K$2)/K$2</f>
        <v>0.43559792166496081</v>
      </c>
      <c r="P67">
        <f t="shared" ref="P67:P73" si="8">(H67-L$2)/L$2</f>
        <v>-0.12056203019397919</v>
      </c>
      <c r="Q67">
        <f t="shared" ref="Q67:Q73" si="9">(I67-M$2)/M$2</f>
        <v>-4.0163901337409394E-2</v>
      </c>
      <c r="R67">
        <f t="shared" ref="R67:R73" si="10">(J67-N$2)/N$2</f>
        <v>-0.12254156482198418</v>
      </c>
      <c r="S67">
        <f t="shared" ref="S67:S73" si="11">O67^2+P67^2+Q67^2+R67^2</f>
        <v>0.22091032656298898</v>
      </c>
      <c r="T67">
        <f t="shared" ref="T67:T73" si="12">O67^2+R67^2</f>
        <v>0.20476198446785387</v>
      </c>
      <c r="U67">
        <f t="shared" ref="U67:U73" si="13">O67^2+P67^2+R67^2</f>
        <v>0.21929718759234784</v>
      </c>
    </row>
    <row r="68" spans="1:22" x14ac:dyDescent="0.2">
      <c r="A68">
        <v>2.9666666666666661E-2</v>
      </c>
      <c r="B68">
        <v>0.08</v>
      </c>
      <c r="C68">
        <v>1.1000000000000001</v>
      </c>
      <c r="D68">
        <v>6</v>
      </c>
      <c r="E68">
        <v>0.38499868754521571</v>
      </c>
      <c r="F68">
        <v>0.1017630936510333</v>
      </c>
      <c r="G68">
        <v>0.1024365180909157</v>
      </c>
      <c r="H68">
        <v>4.9416375464871723E-2</v>
      </c>
      <c r="I68">
        <v>1.2580144153087109</v>
      </c>
      <c r="J68">
        <v>9.9564289654020151</v>
      </c>
      <c r="O68">
        <f t="shared" si="7"/>
        <v>1.2464148704148179</v>
      </c>
      <c r="P68">
        <f t="shared" si="8"/>
        <v>-0.11598612764093516</v>
      </c>
      <c r="Q68">
        <f t="shared" si="9"/>
        <v>-2.4795026892472163E-2</v>
      </c>
      <c r="R68">
        <f t="shared" si="10"/>
        <v>-0.12815858446567294</v>
      </c>
      <c r="S68">
        <f t="shared" si="11"/>
        <v>1.5840422271271701</v>
      </c>
      <c r="T68">
        <f t="shared" si="12"/>
        <v>1.5699746519634323</v>
      </c>
      <c r="U68">
        <f t="shared" si="13"/>
        <v>1.5834274337685716</v>
      </c>
    </row>
    <row r="69" spans="1:22" x14ac:dyDescent="0.2">
      <c r="A69">
        <v>4.2999999999999997E-2</v>
      </c>
      <c r="B69">
        <v>0.08</v>
      </c>
      <c r="C69">
        <v>1.1000000000000001</v>
      </c>
      <c r="D69">
        <v>6</v>
      </c>
      <c r="E69">
        <v>0.38680046275750579</v>
      </c>
      <c r="F69">
        <v>0.1011406860117373</v>
      </c>
      <c r="G69">
        <v>0.12999033360574971</v>
      </c>
      <c r="H69">
        <v>4.9569792122732333E-2</v>
      </c>
      <c r="I69">
        <v>1.2780996114367671</v>
      </c>
      <c r="J69">
        <v>9.9215818937810845</v>
      </c>
      <c r="O69">
        <f t="shared" si="7"/>
        <v>1.850665210652406</v>
      </c>
      <c r="P69">
        <f t="shared" si="8"/>
        <v>-0.11324164360049492</v>
      </c>
      <c r="Q69">
        <f t="shared" si="9"/>
        <v>-9.2251074133588712E-3</v>
      </c>
      <c r="R69">
        <f t="shared" si="10"/>
        <v>-0.13120999178799611</v>
      </c>
      <c r="S69">
        <f t="shared" si="11"/>
        <v>3.4550865563162492</v>
      </c>
      <c r="T69">
        <f t="shared" si="12"/>
        <v>3.4421777838641199</v>
      </c>
      <c r="U69">
        <f t="shared" si="13"/>
        <v>3.4550014537094613</v>
      </c>
    </row>
    <row r="70" spans="1:22" x14ac:dyDescent="0.2">
      <c r="A70">
        <v>3.0000000000000001E-3</v>
      </c>
      <c r="B70">
        <v>0.08</v>
      </c>
      <c r="C70">
        <v>1.8</v>
      </c>
      <c r="D70">
        <v>6</v>
      </c>
      <c r="E70">
        <v>0.3093461379088483</v>
      </c>
      <c r="F70">
        <v>7.7713786749465011E-2</v>
      </c>
      <c r="G70">
        <v>6.4271708503489018E-3</v>
      </c>
      <c r="H70">
        <v>5.9340198009506753E-2</v>
      </c>
      <c r="I70">
        <v>0.80978464140283357</v>
      </c>
      <c r="J70">
        <v>9.2566676035026791</v>
      </c>
      <c r="O70">
        <f t="shared" si="7"/>
        <v>-0.85905327082568206</v>
      </c>
      <c r="P70">
        <f t="shared" si="8"/>
        <v>6.1542003747884703E-2</v>
      </c>
      <c r="Q70">
        <f t="shared" si="9"/>
        <v>-0.37225996790478022</v>
      </c>
      <c r="R70">
        <f t="shared" si="10"/>
        <v>-0.18943365993846942</v>
      </c>
      <c r="S70">
        <f t="shared" si="11"/>
        <v>0.91622253556375899</v>
      </c>
      <c r="T70">
        <f t="shared" si="12"/>
        <v>0.7738576336339863</v>
      </c>
      <c r="U70">
        <f t="shared" si="13"/>
        <v>0.777645051859291</v>
      </c>
    </row>
    <row r="71" spans="1:22" x14ac:dyDescent="0.2">
      <c r="A71">
        <v>1.6333333333333332E-2</v>
      </c>
      <c r="B71">
        <v>0.08</v>
      </c>
      <c r="C71">
        <v>1.8</v>
      </c>
      <c r="D71">
        <v>6</v>
      </c>
      <c r="E71">
        <v>0.31015920006538578</v>
      </c>
      <c r="F71">
        <v>7.860987540605037E-2</v>
      </c>
      <c r="G71">
        <v>3.1281003513433922E-2</v>
      </c>
      <c r="H71">
        <v>5.9569428553466752E-2</v>
      </c>
      <c r="I71">
        <v>0.81443588843549009</v>
      </c>
      <c r="J71">
        <v>9.2311842597573985</v>
      </c>
      <c r="O71">
        <f t="shared" si="7"/>
        <v>-0.31401308084574736</v>
      </c>
      <c r="P71">
        <f t="shared" si="8"/>
        <v>6.5642729042339074E-2</v>
      </c>
      <c r="Q71">
        <f t="shared" si="9"/>
        <v>-0.36865435005000768</v>
      </c>
      <c r="R71">
        <f t="shared" si="10"/>
        <v>-0.19166512611581449</v>
      </c>
      <c r="S71">
        <f t="shared" si="11"/>
        <v>0.27555473319814849</v>
      </c>
      <c r="T71">
        <f t="shared" si="12"/>
        <v>0.13533973551122894</v>
      </c>
      <c r="U71">
        <f t="shared" si="13"/>
        <v>0.13964870338735488</v>
      </c>
    </row>
    <row r="72" spans="1:22" x14ac:dyDescent="0.2">
      <c r="A72" s="2">
        <v>2.9666666666666661E-2</v>
      </c>
      <c r="B72" s="2">
        <v>0.08</v>
      </c>
      <c r="C72" s="2">
        <v>1.8</v>
      </c>
      <c r="D72" s="2">
        <v>6</v>
      </c>
      <c r="E72" s="2">
        <v>0.31105719426074618</v>
      </c>
      <c r="F72" s="2">
        <v>7.8148611002894303E-2</v>
      </c>
      <c r="G72" s="2">
        <v>5.0459635780745048E-2</v>
      </c>
      <c r="H72" s="2">
        <v>5.972123734525369E-2</v>
      </c>
      <c r="I72" s="2">
        <v>0.82192298215485238</v>
      </c>
      <c r="J72" s="2">
        <v>9.2091960882630097</v>
      </c>
      <c r="K72" s="2"/>
      <c r="L72" s="2"/>
      <c r="M72" s="2"/>
      <c r="N72" s="2"/>
      <c r="O72" s="2">
        <f t="shared" si="7"/>
        <v>0.10657096010405802</v>
      </c>
      <c r="P72" s="2">
        <f t="shared" si="8"/>
        <v>6.8358449825647441E-2</v>
      </c>
      <c r="Q72" s="2">
        <f t="shared" si="9"/>
        <v>-0.36285040143034702</v>
      </c>
      <c r="R72" s="2">
        <f t="shared" si="10"/>
        <v>-0.19359053517837041</v>
      </c>
      <c r="S72" s="2">
        <f t="shared" si="11"/>
        <v>0.18516795632887814</v>
      </c>
      <c r="T72" s="2">
        <f t="shared" si="12"/>
        <v>4.8834664848148593E-2</v>
      </c>
      <c r="U72">
        <f t="shared" si="13"/>
        <v>5.3507542510714157E-2</v>
      </c>
      <c r="V72" s="2"/>
    </row>
    <row r="73" spans="1:22" x14ac:dyDescent="0.2">
      <c r="A73">
        <v>4.2999999999999997E-2</v>
      </c>
      <c r="B73">
        <v>0.08</v>
      </c>
      <c r="C73">
        <v>1.8</v>
      </c>
      <c r="D73">
        <v>6</v>
      </c>
      <c r="E73">
        <v>0.31178462628773718</v>
      </c>
      <c r="F73">
        <v>7.7909753991365155E-2</v>
      </c>
      <c r="G73">
        <v>6.5850980798956155E-2</v>
      </c>
      <c r="H73">
        <v>5.9832532347970889E-2</v>
      </c>
      <c r="I73">
        <v>0.82741304874869925</v>
      </c>
      <c r="J73">
        <v>9.1913221741636448</v>
      </c>
      <c r="O73">
        <f t="shared" si="7"/>
        <v>0.44410045611745946</v>
      </c>
      <c r="P73">
        <f t="shared" si="8"/>
        <v>7.0349415884989108E-2</v>
      </c>
      <c r="Q73">
        <f t="shared" si="9"/>
        <v>-0.35859453585372153</v>
      </c>
      <c r="R73">
        <f t="shared" si="10"/>
        <v>-0.19515567651806962</v>
      </c>
      <c r="S73">
        <f t="shared" si="11"/>
        <v>0.36885003466046612</v>
      </c>
      <c r="T73">
        <f t="shared" si="12"/>
        <v>0.23531095320096096</v>
      </c>
      <c r="U73">
        <f t="shared" si="13"/>
        <v>0.24025999351632013</v>
      </c>
    </row>
  </sheetData>
  <conditionalFormatting sqref="S2:S73">
    <cfRule type="top10" dxfId="2" priority="3" percent="1" bottom="1" rank="10"/>
  </conditionalFormatting>
  <conditionalFormatting sqref="T2:T73">
    <cfRule type="top10" dxfId="1" priority="2" percent="1" bottom="1" rank="10"/>
  </conditionalFormatting>
  <conditionalFormatting sqref="U2:U73">
    <cfRule type="top10" dxfId="0" priority="1" percent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Suppressed entry</cp:lastModifiedBy>
  <dcterms:created xsi:type="dcterms:W3CDTF">2024-09-17T05:47:35Z</dcterms:created>
  <dcterms:modified xsi:type="dcterms:W3CDTF">2024-09-17T06:37:02Z</dcterms:modified>
</cp:coreProperties>
</file>